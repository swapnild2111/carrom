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28730"/>
  <mc:AlternateContent xmlns:mc="http://schemas.openxmlformats.org/markup-compatibility/2006">
    <mc:Choice Requires="x15">
      <x15ac:absPath xmlns:x15ac="http://schemas.microsoft.com/office/spreadsheetml/2010/11/ac" url="C:\Users\Admin\OneDrive\"/>
    </mc:Choice>
  </mc:AlternateContent>
  <bookViews>
    <workbookView xWindow="240" yWindow="105" windowWidth="14805" windowHeight="8010" firstSheet="4" activeTab="5"/>
  </bookViews>
  <sheets>
    <sheet name="White slam" sheetId="1" r:id="rId1"/>
    <sheet name="Black slam" sheetId="2" r:id="rId2"/>
    <sheet name="State ranking" sheetId="3" r:id="rId3"/>
    <sheet name="white" sheetId="4" r:id="rId4"/>
    <sheet name="Sheet1" sheetId="6" r:id="rId5"/>
    <sheet name="Total slam" sheetId="8" r:id="rId6"/>
    <sheet name="black" sheetId="5" r:id="rId7"/>
    <sheet name="Sheet2" sheetId="7" r:id="rId8"/>
  </sheets>
  <definedNames>
    <definedName name="_xlnm._FilterDatabase" localSheetId="0" hidden="1">'White slam'!$A$1:$O$1</definedName>
    <definedName name="_xlnm._FilterDatabase" localSheetId="1" hidden="1">'Black slam'!$A$1:$M$1</definedName>
    <definedName name="_xlnm._FilterDatabase" localSheetId="3" hidden="1">white!$E$1:$F$162</definedName>
  </definedNames>
  <calcPr/>
</workbook>
</file>

<file path=xl/calcChain.xml><?xml version="1.0" encoding="utf-8"?>
<calcChain xmlns="http://schemas.openxmlformats.org/spreadsheetml/2006/main">
  <c i="8" l="1" r="I6"/>
  <c r="H6"/>
  <c r="G4"/>
  <c r="H3"/>
  <c r="G3"/>
  <c r="I3"/>
  <c r="G19"/>
  <c r="I19"/>
  <c r="G7"/>
  <c r="G9"/>
  <c r="I9"/>
  <c r="G23"/>
  <c r="I23"/>
  <c r="G10"/>
  <c r="I10"/>
  <c r="G44"/>
  <c r="I44"/>
  <c r="G14"/>
  <c r="I14"/>
  <c r="G29"/>
  <c r="I29"/>
  <c r="G30"/>
  <c r="I30"/>
  <c r="G20"/>
  <c r="I20"/>
  <c r="G31"/>
  <c r="I31"/>
  <c r="G32"/>
  <c r="G33"/>
  <c r="I33"/>
  <c r="G34"/>
  <c r="I34"/>
  <c r="G8"/>
  <c r="I8"/>
  <c r="G15"/>
  <c r="I15"/>
  <c r="I4"/>
  <c r="G6"/>
  <c r="G12"/>
  <c r="I12"/>
  <c r="G24"/>
  <c r="I24"/>
  <c r="G16"/>
  <c r="I16"/>
  <c r="G45"/>
  <c r="I45"/>
  <c r="G25"/>
  <c r="I25"/>
  <c r="G35"/>
  <c r="I35"/>
  <c r="G18"/>
  <c r="I18"/>
  <c r="G26"/>
  <c r="I26"/>
  <c r="G17"/>
  <c r="I17"/>
  <c r="G36"/>
  <c r="I36"/>
  <c r="G27"/>
  <c r="I27"/>
  <c r="G46"/>
  <c r="I46"/>
  <c r="G47"/>
  <c r="I47"/>
  <c r="G37"/>
  <c r="I37"/>
  <c r="G38"/>
  <c r="I38"/>
  <c r="G21"/>
  <c r="I21"/>
  <c r="G22"/>
  <c r="I22"/>
  <c r="G48"/>
  <c r="I48"/>
  <c r="G49"/>
  <c r="I49"/>
  <c r="G5"/>
  <c r="I5"/>
  <c r="G39"/>
  <c r="I39"/>
  <c r="G40"/>
  <c r="I40"/>
  <c r="G13"/>
  <c r="I13"/>
  <c r="G50"/>
  <c r="I50"/>
  <c r="G41"/>
  <c r="I41"/>
  <c r="G11"/>
  <c r="I11"/>
  <c r="G42"/>
  <c r="I42"/>
  <c r="G43"/>
  <c r="I43"/>
  <c r="G28"/>
  <c r="I28"/>
  <c r="G51"/>
  <c r="I51"/>
  <c r="H19"/>
  <c r="H7"/>
  <c r="I7"/>
  <c r="H9"/>
  <c r="H23"/>
  <c r="H10"/>
  <c r="H44"/>
  <c r="H14"/>
  <c r="H29"/>
  <c r="H30"/>
  <c r="H20"/>
  <c r="H31"/>
  <c r="H32"/>
  <c r="I32"/>
  <c r="H33"/>
  <c r="H34"/>
  <c r="H8"/>
  <c r="H15"/>
  <c r="H4"/>
  <c r="H12"/>
  <c r="H24"/>
  <c r="H16"/>
  <c r="H45"/>
  <c r="H25"/>
  <c r="H35"/>
  <c r="H18"/>
  <c r="H26"/>
  <c r="H17"/>
  <c r="H36"/>
  <c r="H27"/>
  <c r="H46"/>
  <c r="H47"/>
  <c r="H37"/>
  <c r="H38"/>
  <c r="H21"/>
  <c r="H22"/>
  <c r="H48"/>
  <c r="H49"/>
  <c r="H5"/>
  <c r="H39"/>
  <c r="H40"/>
  <c r="H13"/>
  <c r="H50"/>
  <c r="H41"/>
  <c r="H11"/>
  <c r="H42"/>
  <c r="H43"/>
  <c r="H28"/>
  <c r="H51"/>
  <c i="6" r="G8"/>
  <c i="3" r="J6"/>
  <c r="F11"/>
  <c i="7" r="B31"/>
  <c r="G9"/>
  <c r="H3"/>
  <c r="H4"/>
  <c r="H5"/>
  <c r="H6"/>
  <c r="H7"/>
  <c r="H8"/>
  <c i="6" r="H3"/>
  <c r="H4"/>
  <c r="H5"/>
  <c r="H6"/>
  <c r="H7"/>
  <c r="H8"/>
  <c i="7" r="H9"/>
</calcChain>
</file>

<file path=xl/sharedStrings.xml><?xml version="1.0" encoding="utf-8"?>
<sst xmlns="http://schemas.openxmlformats.org/spreadsheetml/2006/main">
  <si>
    <t>Player</t>
  </si>
  <si>
    <t>District</t>
  </si>
  <si>
    <t>5th Rotary Club of Mumbai Parleshwar</t>
  </si>
  <si>
    <t>16th SHIVAJI PARK GYMKHANA</t>
  </si>
  <si>
    <t>2nd Ghatkopar Jolly Gymkhana</t>
  </si>
  <si>
    <t>3rd Guardian Minister Chashak Sindhudurg</t>
  </si>
  <si>
    <t>58th Senior Maharashtra State Carrom Championship</t>
  </si>
  <si>
    <t>Late Vinayak Nimhan (Ex.MLA) Pune</t>
  </si>
  <si>
    <t>3rd The Chembur Gymkhana</t>
  </si>
  <si>
    <t>9th Mandpeshwar Civic Federation</t>
  </si>
  <si>
    <t>8th SHREE DATTARAJ CHARITABLE TRUST, NRUSINGHAWADI</t>
  </si>
  <si>
    <t>Kshatriya Union Club - Vanmali Hall AC</t>
  </si>
  <si>
    <t>Total</t>
  </si>
  <si>
    <t>Club</t>
  </si>
  <si>
    <t>Prashant Suryakant More</t>
  </si>
  <si>
    <t>Male</t>
  </si>
  <si>
    <t>Mumbai</t>
  </si>
  <si>
    <t>Sandip Ashok Dive</t>
  </si>
  <si>
    <t>Mumbai Sub</t>
  </si>
  <si>
    <t>Vikas Harish Dharia</t>
  </si>
  <si>
    <t>Jitesh Ashok Kadam</t>
  </si>
  <si>
    <t>Mohd. Ghufran</t>
  </si>
  <si>
    <t>Pankaj Ashok Pawar</t>
  </si>
  <si>
    <t>Thane</t>
  </si>
  <si>
    <t>Hareshwar Gangaprasad Betvanshi</t>
  </si>
  <si>
    <t>Prafull Suryakant More</t>
  </si>
  <si>
    <t>Sanjay Baliram Mande</t>
  </si>
  <si>
    <t>Nilansh Hiten Chiplunkar</t>
  </si>
  <si>
    <t>Omkar Prasanna Tilak</t>
  </si>
  <si>
    <t>Saurabh Shreekrishna Mate</t>
  </si>
  <si>
    <t>Siddhant Mahendra Wadwalkar</t>
  </si>
  <si>
    <t>Omkar Rajan Netke</t>
  </si>
  <si>
    <t>Rahul Arvind Solanki</t>
  </si>
  <si>
    <t>Sukhbirsingh Vikram Katnoriya</t>
  </si>
  <si>
    <t>Pune</t>
  </si>
  <si>
    <t>Vaibhav Pawar</t>
  </si>
  <si>
    <t>Sanjay Jaywant Mohite</t>
  </si>
  <si>
    <t>Dinesh Satwa Kedar</t>
  </si>
  <si>
    <t>Sandeep Jogale</t>
  </si>
  <si>
    <t>Rajesh Khedekar</t>
  </si>
  <si>
    <t>Salman Salim Khan</t>
  </si>
  <si>
    <t>Mitali Bhavesh Pathak</t>
  </si>
  <si>
    <t>Female</t>
  </si>
  <si>
    <t>Javed Babu Shaikh</t>
  </si>
  <si>
    <t>Girish Hemant Tambe</t>
  </si>
  <si>
    <t>Swapnil Baban Golatkar</t>
  </si>
  <si>
    <t>Vinod Dinkar Kamble</t>
  </si>
  <si>
    <t>Amol Ashok Sawardekar</t>
  </si>
  <si>
    <t>Yogesh Ashok Dhongade</t>
  </si>
  <si>
    <t>Pauras Kargutkar</t>
  </si>
  <si>
    <t>Suraj Kumbhar</t>
  </si>
  <si>
    <t>Jitendra Pandurang Kale</t>
  </si>
  <si>
    <t>Francis Fernandes</t>
  </si>
  <si>
    <t>Nilesh S Parab</t>
  </si>
  <si>
    <t>Mangesh Bhalerao</t>
  </si>
  <si>
    <t>Fahim Yakub Kazi</t>
  </si>
  <si>
    <t>Manoj Prakash Kamble</t>
  </si>
  <si>
    <t>Hidayat Saeedullah Ansari</t>
  </si>
  <si>
    <t>Dilip Sosa</t>
  </si>
  <si>
    <t>Sudhakar Iyer</t>
  </si>
  <si>
    <t>Shabaz Mohd. Nasir Shaikh</t>
  </si>
  <si>
    <t>Sairam Chakka</t>
  </si>
  <si>
    <t>Giridhar Shamji Bhoj</t>
  </si>
  <si>
    <t>Prakash Baraskar</t>
  </si>
  <si>
    <t>Muniyappan Raja</t>
  </si>
  <si>
    <t>Niranjan Prabhakar Chari</t>
  </si>
  <si>
    <t>Palghar</t>
  </si>
  <si>
    <t>Abhijit Dattatray Tripankar</t>
  </si>
  <si>
    <t>Aayush Bhushan Garud</t>
  </si>
  <si>
    <t>Sachin Nandu Bandal</t>
  </si>
  <si>
    <t>Yogesh Udaybhan Pardeshi</t>
  </si>
  <si>
    <t>Mayur Gajanan Chavan</t>
  </si>
  <si>
    <t>Rahim Karim Khan</t>
  </si>
  <si>
    <t>Prakash Shyamrao Gaikwad</t>
  </si>
  <si>
    <t>Sameer Jabir Ansari</t>
  </si>
  <si>
    <t>Bhavesh Kishor Parmar</t>
  </si>
  <si>
    <t>Naushad Zubair Shaikh</t>
  </si>
  <si>
    <t>Zaid Ahmed Farooquee</t>
  </si>
  <si>
    <t>Sushant Vijay Wairat</t>
  </si>
  <si>
    <t>Sanjay Gunvantrai Maniyar</t>
  </si>
  <si>
    <t>Mohd. Raza</t>
  </si>
  <si>
    <t>Rudra Bharat Gaware</t>
  </si>
  <si>
    <t>Asgar Babamiya Shaikh</t>
  </si>
  <si>
    <t>Nandu Tukaram Sonawane</t>
  </si>
  <si>
    <t>Sagar Prakash Waghmare</t>
  </si>
  <si>
    <t>Nilesh Ganesh Kori</t>
  </si>
  <si>
    <t>Anil Dilip Mundhe</t>
  </si>
  <si>
    <t>Gaurav Ganesh Garde</t>
  </si>
  <si>
    <t>Riyaz Akbar Ali</t>
  </si>
  <si>
    <t>Ratnagiri</t>
  </si>
  <si>
    <t>Sajjad Altaf Shaikh</t>
  </si>
  <si>
    <t>Vivek Amit Podar</t>
  </si>
  <si>
    <t>Mahesh Harishchandra Shetye</t>
  </si>
  <si>
    <t>Sanjay Ganpat Thite</t>
  </si>
  <si>
    <t>Ashok Sawaji Gaur</t>
  </si>
  <si>
    <t>Winner</t>
  </si>
  <si>
    <t>Runner Up</t>
  </si>
  <si>
    <t>3rd place</t>
  </si>
  <si>
    <t>Pankaj Pawar</t>
  </si>
  <si>
    <t>Prashant More</t>
  </si>
  <si>
    <t>Siddhant Wadwalkar</t>
  </si>
  <si>
    <t>Modh Ghufran</t>
  </si>
  <si>
    <t>Kajal Kumari</t>
  </si>
  <si>
    <t>Akanksha Kadam</t>
  </si>
  <si>
    <t>Samruddhi Ghadigaonkar</t>
  </si>
  <si>
    <t>Hareshwar Betwanshi</t>
  </si>
  <si>
    <t>Sagar Waghmare</t>
  </si>
  <si>
    <t>Shruti Sonawane</t>
  </si>
  <si>
    <t>Mohd Ghufran</t>
  </si>
  <si>
    <t>Sandeep Dive</t>
  </si>
  <si>
    <t>Sanjay Mande</t>
  </si>
  <si>
    <t>Mitali Pathak</t>
  </si>
  <si>
    <t>Rinki Kumari</t>
  </si>
  <si>
    <t>Anil Munde</t>
  </si>
  <si>
    <t>Zaid</t>
  </si>
  <si>
    <t>Madhura Devle</t>
  </si>
  <si>
    <t>Rahim Khan</t>
  </si>
  <si>
    <t>Yogesh Dhongade</t>
  </si>
  <si>
    <t>Faim Kazi</t>
  </si>
  <si>
    <t>Naeem Ansari</t>
  </si>
  <si>
    <t>Abhijit Tripankar</t>
  </si>
  <si>
    <t>Ambika Harith</t>
  </si>
  <si>
    <t>Urmila Shendge</t>
  </si>
  <si>
    <t>Vikas Dharia</t>
  </si>
  <si>
    <t>Neelam Ghodke</t>
  </si>
  <si>
    <t>Aisha Khan</t>
  </si>
  <si>
    <t>Prajakta Narayankar</t>
  </si>
  <si>
    <t>Keshar Nirgun</t>
  </si>
  <si>
    <t>Name</t>
  </si>
  <si>
    <t>Count</t>
  </si>
  <si>
    <t>( Pune )</t>
  </si>
  <si>
    <t>Match- 44 | SET-2 | Board- 1</t>
  </si>
  <si>
    <t>( Mumbai )</t>
  </si>
  <si>
    <t>( Mumbai Suburban )</t>
  </si>
  <si>
    <t>Match- 68 | SET-1 | Board- 1</t>
  </si>
  <si>
    <t>( Thane )</t>
  </si>
  <si>
    <t>Match- 85 | SET-2 | Board- 6</t>
  </si>
  <si>
    <t>Match- 119 | SET-2 | Board- 5</t>
  </si>
  <si>
    <t>Match- 149 | SET-1 | Board- 2</t>
  </si>
  <si>
    <t>Match- 163 | SET-3 | Board- 2</t>
  </si>
  <si>
    <t>Match- 180 | SET-2 | Board- 7</t>
  </si>
  <si>
    <t>Match- 204 | SET-1 | Board- 3</t>
  </si>
  <si>
    <t>Match- 205 | SET-2 | Board- 6</t>
  </si>
  <si>
    <t>Match- 205 | SET-3 | Board- 4</t>
  </si>
  <si>
    <t>Match- 222 | SET-1 | Board- 5</t>
  </si>
  <si>
    <t>Match- 227 | SET-2 | Board- 6</t>
  </si>
  <si>
    <t>Match- 229 | SET-1 | Board- 1</t>
  </si>
  <si>
    <t>Match- 230 | SET-2 | Board- 5</t>
  </si>
  <si>
    <t>Match- 239 | SET-2 | Board- 8</t>
  </si>
  <si>
    <t>Match- 240 | SET-1 | Board- 4</t>
  </si>
  <si>
    <t>Match- 244 | SET-2 | Board- 4</t>
  </si>
  <si>
    <t>Match- 245 | SET-1 | Board- 5</t>
  </si>
  <si>
    <t>Match- 251 | SET-2 | Board- 2</t>
  </si>
  <si>
    <t>Match- 252 | SET-2 | Board- 4</t>
  </si>
  <si>
    <t>Match- 256 | SET-2 | Board- 7</t>
  </si>
  <si>
    <t>Match- 262 | SET-3 | Board- 4</t>
  </si>
  <si>
    <t>( Palghar )</t>
  </si>
  <si>
    <t>Match- 39 | SET-2 | Board- 1</t>
  </si>
  <si>
    <t>Match- 48 | SET-1 | Board- 3</t>
  </si>
  <si>
    <t>Match- 54 | SET-1 | Board- 2</t>
  </si>
  <si>
    <t>Match- 96 | SET-1 | Board- 3</t>
  </si>
  <si>
    <t>Match- 161 | SET-1 | Board- 3</t>
  </si>
  <si>
    <t>Match- 173 | SET-1 | Board- 6</t>
  </si>
  <si>
    <t>Match- 220 | SET-1 | Board- 2</t>
  </si>
  <si>
    <t>Match- 222 | SET-1 | Board- 2</t>
  </si>
  <si>
    <t>Match- 228 | SET-1 | Board- 3</t>
  </si>
  <si>
    <t>Match- 266 | SET-2 | Board- 6</t>
  </si>
  <si>
    <t>Match- 266 | SET-3 | Board- 7</t>
  </si>
  <si>
    <t>Match- 41 | SET-1 | Board- 1</t>
  </si>
  <si>
    <t>Match- 51 | SET-1 | Board- 8</t>
  </si>
  <si>
    <t>Match- 96 | SET-1 | Board- 6</t>
  </si>
  <si>
    <t>Match- 153 | SET-1 | Board- 6</t>
  </si>
  <si>
    <t>Match- 155 | SET-2 | Board- 2</t>
  </si>
  <si>
    <t>Match- 169 | SET-1 | Board- 6</t>
  </si>
  <si>
    <t>Match- 214 | SET-2 | Board- 4</t>
  </si>
  <si>
    <t>Match- 218 | SET-2 | Board- 8</t>
  </si>
  <si>
    <t>Match- 264 | SET-2 | Board- 1</t>
  </si>
  <si>
    <t>Match- 291 | SET-1 | Board- 4</t>
  </si>
  <si>
    <t>Match- 295 | SET-1 | Board- 5</t>
  </si>
  <si>
    <t>Match- 306 | SET-2 | Board- 2</t>
  </si>
  <si>
    <t>Match- 307 | SET-2 | Board- 6</t>
  </si>
  <si>
    <t>Match- 308 | SET-2 | Board- 2</t>
  </si>
  <si>
    <t>Match- 311 | SET-3 | Board- 2</t>
  </si>
  <si>
    <t>Match- 315 | SET-2 | Board- 6</t>
  </si>
  <si>
    <t>Mohammad Ghufran</t>
  </si>
  <si>
    <t>Match- 319 | SET-1 | Board- 1</t>
  </si>
  <si>
    <t>Match- 319 | SET-1 | Board- 4</t>
  </si>
  <si>
    <t>Match- 321 | SET-1 | Board- 6</t>
  </si>
  <si>
    <t>Match- 334 | SET-2 | Board- 4</t>
  </si>
  <si>
    <t>Match- 334 | SET-3 | Board- 4</t>
  </si>
  <si>
    <t>Match- 340 | SET-1 | Board- 4</t>
  </si>
  <si>
    <t>Match- 340 | SET-3 | Board- 1</t>
  </si>
  <si>
    <t>Match- 53 | SET-2 | Board- 3</t>
  </si>
  <si>
    <t>Match- 110 | SET-2 | Board- 3</t>
  </si>
  <si>
    <t>Match- 125 | SET-3 | Board- 3</t>
  </si>
  <si>
    <t>Match- 138 | SET-2 | Board- 2</t>
  </si>
  <si>
    <t>Match- 144 | SET-1 | Board- 3</t>
  </si>
  <si>
    <t>Match- 149 | SET-1 | Board- 5</t>
  </si>
  <si>
    <t>Match- 106 | SET-2 | Board- 1</t>
  </si>
  <si>
    <t>Match- 138 | SET-1 | Board- 1</t>
  </si>
  <si>
    <t>Match- 306 | SET-3 | Board- 3</t>
  </si>
  <si>
    <t>Match- 59 | SET-1 | Board- 4</t>
  </si>
  <si>
    <t>Match- 156 | SET-2 | Board- 1</t>
  </si>
  <si>
    <t>Match- 104 | SET-2 | Board- 2</t>
  </si>
  <si>
    <t>Match- 138 | SET-1 | Board- 6</t>
  </si>
  <si>
    <t>Match- 234 | SET-1 | Board- 6</t>
  </si>
  <si>
    <t>Match- 266 | SET-2 | Board- 5</t>
  </si>
  <si>
    <t>Match- 294 | SET-3 | Board- 4</t>
  </si>
  <si>
    <t>Match- 306 | SET-2 | Board- 3</t>
  </si>
  <si>
    <t>Match- 324 | SET-1 | Board- 6</t>
  </si>
  <si>
    <t>Match- 68 | SET-1 | Board- 4</t>
  </si>
  <si>
    <t>Match- 195 | SET-2 | Board- 6</t>
  </si>
  <si>
    <t>Match- 197 | SET-2 | Board- 2</t>
  </si>
  <si>
    <t>Match- 223 | SET-2 | Board- 7</t>
  </si>
  <si>
    <t>Match- 227 | SET-1 | Board- 8</t>
  </si>
  <si>
    <t>Match- 286 | SET-2 | Board- 3</t>
  </si>
  <si>
    <t>Match- 292 | SET-1 | Board- 5</t>
  </si>
  <si>
    <t>Match- 208 | SET-1 | Board- 7</t>
  </si>
  <si>
    <t>Match- 126 | SET-2 | Board- 6</t>
  </si>
  <si>
    <t>Match- 170 | SET-1 | Board- 2</t>
  </si>
  <si>
    <t>Match- 180 | SET-2 | Board- 2</t>
  </si>
  <si>
    <t>Match- 193 | SET-2 | Board- 6</t>
  </si>
  <si>
    <t>Match- 198 | SET-1 | Board- 7</t>
  </si>
  <si>
    <t>Match- 199 | SET-1 | Board- 2</t>
  </si>
  <si>
    <t>Match- 237 | SET-2 | Board- 3</t>
  </si>
  <si>
    <t>Match- 248 | SET-2 | Board- 1</t>
  </si>
  <si>
    <t>Match- 257 | SET-3 | Board- 7</t>
  </si>
  <si>
    <t>Match- 268 | SET-2 | Board- 6</t>
  </si>
  <si>
    <t>Match- 280 | SET-2 | Board- 4</t>
  </si>
  <si>
    <t>Match- 284 | SET-3 | Board- 1</t>
  </si>
  <si>
    <t>Match- 285 | SET-2 | Board- 7</t>
  </si>
  <si>
    <t>Match- 300 | SET-2 | Board- 5</t>
  </si>
  <si>
    <t>Match- 300 | SET-3 | Board- 6</t>
  </si>
  <si>
    <t>Match- 305 | SET-1 | Board- 8</t>
  </si>
  <si>
    <t>Match- 309 | SET-3 | Board- 4</t>
  </si>
  <si>
    <t>%</t>
  </si>
  <si>
    <t xml:space="preserve"> Mumbai </t>
  </si>
  <si>
    <t xml:space="preserve"> Mumbai Suburban </t>
  </si>
  <si>
    <t xml:space="preserve"> Palghar </t>
  </si>
  <si>
    <t xml:space="preserve"> Pune </t>
  </si>
  <si>
    <t xml:space="preserve"> Thane </t>
  </si>
  <si>
    <t>State and Youtube</t>
  </si>
  <si>
    <t>White</t>
  </si>
  <si>
    <t>Black</t>
  </si>
  <si>
    <t>Total White</t>
  </si>
  <si>
    <t>Total Black</t>
  </si>
  <si>
    <t>Total Slam</t>
  </si>
  <si>
    <t>test1234</t>
  </si>
  <si>
    <t>Kunal Raut</t>
  </si>
  <si>
    <t>Anilkumar Singh</t>
  </si>
  <si>
    <t>Harish Bhai</t>
  </si>
  <si>
    <t>Babu Bhai</t>
  </si>
  <si>
    <t>Sudhir Shinde</t>
  </si>
  <si>
    <t>Sachin Chalwadi</t>
  </si>
  <si>
    <t>Mandar Barde</t>
  </si>
  <si>
    <t>Navnath Kamble</t>
  </si>
  <si>
    <t>Javed Khan</t>
  </si>
  <si>
    <t>Premkumar Mishra</t>
  </si>
  <si>
    <t>Kiran Soman</t>
  </si>
  <si>
    <t>Mujeeb Sayyed</t>
  </si>
  <si>
    <t>Taufiq Shaikh</t>
  </si>
  <si>
    <t>Shehbazh</t>
  </si>
  <si>
    <t>Swaraj</t>
  </si>
  <si>
    <t>Anil Taishetty</t>
  </si>
  <si>
    <t>Sai Carrom</t>
  </si>
  <si>
    <t>Suhas Wakankar</t>
  </si>
  <si>
    <t>Akshay Dey</t>
  </si>
  <si>
    <t>Saurabh Gulati</t>
  </si>
  <si>
    <t>Bhavesh Rane</t>
  </si>
  <si>
    <t>Satya Arekar</t>
  </si>
  <si>
    <t>Manish Patil</t>
  </si>
  <si>
    <t>Reylond</t>
  </si>
  <si>
    <t>Amol</t>
  </si>
  <si>
    <t>Mukesh Mandodare</t>
  </si>
  <si>
    <t>Pravin Raut</t>
  </si>
  <si>
    <t>Vaibhav Koregaonkar</t>
  </si>
  <si>
    <t>Parag Desai</t>
  </si>
  <si>
    <t>Tanmay Mane</t>
  </si>
  <si>
    <t>Vaibhav Jadhav</t>
  </si>
  <si>
    <t>Shanu Quereshi</t>
  </si>
  <si>
    <t>Arif Bhai</t>
  </si>
  <si>
    <t>Omkar</t>
  </si>
  <si>
    <t>Vijay</t>
  </si>
  <si>
    <t>Imran K</t>
  </si>
  <si>
    <t>Samir Ansari</t>
  </si>
  <si>
    <t>Bhavesh Parmar</t>
  </si>
  <si>
    <t>Naushad Shaikh</t>
  </si>
  <si>
    <t>Pradeep Satam</t>
  </si>
  <si>
    <t>Imran Quereshi</t>
  </si>
  <si>
    <t>Dharam</t>
  </si>
  <si>
    <t>Imran Memon</t>
  </si>
  <si>
    <t>Vakas Shaikh</t>
  </si>
  <si>
    <t>Darshan</t>
  </si>
  <si>
    <t>Arif Shaikh</t>
  </si>
  <si>
    <t>Mahesh Shetye</t>
  </si>
  <si>
    <t>( Mumbai)</t>
  </si>
  <si>
    <t>Match- 34 | SET-1 | Board- 3</t>
  </si>
  <si>
    <t>Match- 173 | SET-1 | Board- 2</t>
  </si>
  <si>
    <t>( Pune)</t>
  </si>
  <si>
    <t>Match- 206 | SET-2 | Board- 4</t>
  </si>
  <si>
    <t>Match- 214 | SET-3 | Board- 4</t>
  </si>
  <si>
    <t>( Mumbai Suburban)</t>
  </si>
  <si>
    <t>Match- 216 | SET-1 | Board- 3</t>
  </si>
  <si>
    <t>Match- 233 | SET-1 | Board- 5</t>
  </si>
  <si>
    <t>Match- 241 | SET-1 | Board- 2</t>
  </si>
  <si>
    <t>Match- 249 | SET-2 | Board- 3</t>
  </si>
  <si>
    <t>Match- 254 | SET-3 | Board- 5</t>
  </si>
  <si>
    <t>( Thane)</t>
  </si>
  <si>
    <t>Match- 257 | SET-2 | Board- 3</t>
  </si>
  <si>
    <t>Match- 260 | SET-1 | Board- 5</t>
  </si>
  <si>
    <t>Match- 262 | SET-3 | Board- 6</t>
  </si>
  <si>
    <t>Match- 56 | SET-2 | Board- 5</t>
  </si>
  <si>
    <t>Match- 203 | SET-2 | Board- 4</t>
  </si>
  <si>
    <t>Match- 235 | SET-2 | Board- 6</t>
  </si>
  <si>
    <t>Match- 284 | SET-1 | Board- 5</t>
  </si>
  <si>
    <t>Match- 100 | SET-2 | Board- 1</t>
  </si>
  <si>
    <t>Match- 291 | SET-2 | Board- 4</t>
  </si>
  <si>
    <t>Match- 299 | SET-1 | Board- 2</t>
  </si>
  <si>
    <t>Match- 332 | SET-2 | Board- 3</t>
  </si>
  <si>
    <t>( Palghar)</t>
  </si>
  <si>
    <t>Match- 175 | SET-2 | Board- 5</t>
  </si>
  <si>
    <t>Match- 212 | SET-1 | Board- 4</t>
  </si>
  <si>
    <t>Match- 215 | SET-2 | Board- 1</t>
  </si>
  <si>
    <t>Match- 324 | SET-1 | Board- 5</t>
  </si>
  <si>
    <t>Match- 36 | SET-2 | Board- 6</t>
  </si>
  <si>
    <t>Match- 165 | SET-3 | Board- 4</t>
  </si>
  <si>
    <t>Match- 169 | SET-3 | Board- 3</t>
  </si>
  <si>
    <t>Match- 45 | SET-1 | Board- 3</t>
  </si>
  <si>
    <t>( Ratnagiri)</t>
  </si>
  <si>
    <t>Match- 224 | SET-2 | Board- 5</t>
  </si>
  <si>
    <t>Match- 267 | SET-1 | Board- 2</t>
  </si>
  <si>
    <t>Match- 268 | SET-2 | Board- 3</t>
  </si>
  <si>
    <t>Match- 272 | SET-2 | Board- 7</t>
  </si>
  <si>
    <t>Match- 295 | SET-2 | Board- 6</t>
  </si>
  <si>
    <t>Match- 296 | SET-1 | Board- 3</t>
  </si>
  <si>
    <t>Match- 250 | SET-1 | Board- 2</t>
  </si>
  <si>
    <t>Match- 233 | SET-2 | Board- 6</t>
  </si>
  <si>
    <t>Match- 242 | SET-2 | Board- 5</t>
  </si>
  <si>
    <t>Match- 265 | SET-1 | Board- 4</t>
  </si>
  <si>
    <t>Match- 300 | SET-2 | Board- 7</t>
  </si>
  <si>
    <t xml:space="preserve"> Mumbai</t>
  </si>
  <si>
    <t xml:space="preserve"> Pune</t>
  </si>
  <si>
    <t xml:space="preserve"> Mumbai Suburban</t>
  </si>
  <si>
    <t xml:space="preserve"> Thane</t>
  </si>
  <si>
    <t xml:space="preserve"> Palghar</t>
  </si>
  <si>
    <t xml:space="preserve"> Ratnagiri</t>
  </si>
</sst>
</file>

<file path=xl/styles.xml><?xml version="1.0" encoding="utf-8"?>
<styleSheet xmlns="http://schemas.openxmlformats.org/spreadsheetml/2006/main">
  <numFmts count="1">
    <numFmt numFmtId="164" formatCode="_-* #,##0.00_-;-* #,##0.00_-;_-* &quot;-&quot;??_-;_-@_-"/>
  </numFmts>
  <fonts count="4">
    <font>
      <sz val="11"/>
      <color theme="1"/>
      <name val="Aptos Narrow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/>
    <xf numFmtId="0" fontId="1" fillId="2" borderId="0" xfId="0" applyFont="1" applyFill="1" applyAlignme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2" borderId="5" xfId="0" applyFont="1" applyFill="1" applyBorder="1" applyAlignment="1"/>
    <xf numFmtId="0" fontId="1" fillId="2" borderId="1" xfId="0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4" fontId="2" fillId="2" borderId="9" xfId="0" applyNumberFormat="1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6" xfId="0" applyNumberFormat="1" applyBorder="1" applyAlignment="1">
      <alignment horizontal="center"/>
    </xf>
    <xf numFmtId="0" fontId="2" fillId="2" borderId="7" xfId="0" applyFont="1" applyFill="1" applyBorder="1" applyAlignment="1"/>
    <xf numFmtId="0" fontId="3" fillId="0" borderId="8" xfId="0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</dxf>
    <dxf>
      <font>
        <b/>
      </font>
      <alignment horizont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164" formatCode="_-* #,##0.00_-;-* #,##0.00_-;_-* &quot;-&quot;??_-;_-@_-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164" formatCode="_-* #,##0.00_-;-* #,##0.00_-;_-* &quot;-&quot;??_-;_-@_-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</border>
    </dxf>
    <dxf>
      <font>
        <b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numFmt numFmtId="164" formatCode="_-* #,##0.00_-;-* #,##0.00_-;_-* &quot;-&quot;??_-;_-@_-"/>
      <border diagonalUp="0" diagonalDown="0">
        <left style="thin">
          <color rgb="FF000000"/>
        </left>
        <right/>
        <top style="thin">
          <color rgb="FF000000"/>
        </top>
        <bottom/>
      </border>
    </dxf>
    <dxf>
      <numFmt numFmtId="164" formatCode="_-* #,##0.00_-;-* #,##0.00_-;_-* &quot;-&quot;??_-;_-@_-"/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styles" Target="styles.xml" /><Relationship Id="rId10" Type="http://schemas.openxmlformats.org/officeDocument/2006/relationships/theme" Target="theme/theme1.xml" /><Relationship Id="rId11" Type="http://schemas.openxmlformats.org/officeDocument/2006/relationships/calcChain" Target="calcChain.xml" /><Relationship Id="rId12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rgbClr val="0070BF"/>
                </a:solidFill>
                <a:prstDash val="solid"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leaderLines>
              <c:spPr>
                <a:ln w="9525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</c:dLbls>
          <c:cat>
            <c:strRef>
              <c:f>Sheet1!$F$3:$F$7</c:f>
              <c:strCache>
                <c:ptCount val="5"/>
                <c:pt idx="0">
                  <c:v> Mumbai </c:v>
                </c:pt>
                <c:pt idx="1">
                  <c:v> Mumbai Suburban </c:v>
                </c:pt>
                <c:pt idx="2">
                  <c:v> Palghar </c:v>
                </c:pt>
                <c:pt idx="3">
                  <c:v> Pune </c:v>
                </c:pt>
                <c:pt idx="4">
                  <c:v> Thane </c:v>
                </c:pt>
              </c:strCache>
            </c:strRef>
          </c:cat>
          <c:val>
            <c:numRef>
              <c:f>Sheet1!$G$3:$G$7</c:f>
              <c:numCache>
                <c:formatCode>General</c:formatCode>
                <c:ptCount val="5"/>
                <c:pt idx="0">
                  <c:v>63</c:v>
                </c:pt>
                <c:pt idx="1">
                  <c:v>21</c:v>
                </c:pt>
                <c:pt idx="2">
                  <c:v>1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Sheet1!$F$3:$F$7</c:f>
              <c:strCache>
                <c:ptCount val="5"/>
                <c:pt idx="0">
                  <c:v> Mumbai </c:v>
                </c:pt>
                <c:pt idx="1">
                  <c:v> Mumbai Suburban </c:v>
                </c:pt>
                <c:pt idx="2">
                  <c:v> Palghar </c:v>
                </c:pt>
                <c:pt idx="3">
                  <c:v> Pune </c:v>
                </c:pt>
                <c:pt idx="4">
                  <c:v> Thane </c:v>
                </c:pt>
              </c:strCache>
            </c:strRef>
          </c:cat>
          <c:val>
            <c:numRef>
              <c:f>Sheet1!$H$3:$H$7</c:f>
              <c:numCache>
                <c:formatCode>_(* #,##0.00_);_(* \(#,##0.00\);_(* "-"??_);_(@_)</c:formatCode>
                <c:ptCount val="5"/>
                <c:pt idx="0" formatCode="_-* #,##0.00_-;-* #,##0.00_-;_-* &quot;-&quot;??_-;_-@_-">
                  <c:v>62.3762376237624</c:v>
                </c:pt>
                <c:pt idx="1" formatCode="_-* #,##0.00_-;-* #,##0.00_-;_-* &quot;-&quot;??_-;_-@_-">
                  <c:v>20.7920792079208</c:v>
                </c:pt>
                <c:pt idx="2" formatCode="_-* #,##0.00_-;-* #,##0.00_-;_-* &quot;-&quot;??_-;_-@_-">
                  <c:v>0.99009900990099</c:v>
                </c:pt>
                <c:pt idx="3" formatCode="_-* #,##0.00_-;-* #,##0.00_-;_-* &quot;-&quot;??_-;_-@_-">
                  <c:v>8.91089108910891</c:v>
                </c:pt>
                <c:pt idx="4" formatCode="_-* #,##0.00_-;-* #,##0.00_-;_-* &quot;-&quot;??_-;_-@_-">
                  <c:v>6.93069306930693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2</xdr:row>
      <xdr:rowOff>171450</xdr:rowOff>
    </xdr:from>
    <xdr:to>
      <xdr:col>16</xdr:col>
      <xdr:colOff>38100</xdr:colOff>
      <xdr:row>17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B63" totalsRowShown="0" dataDxfId="0">
  <autoFilter ref="A1:B63"/>
  <sortState ref="A2:B63">
    <sortCondition descending="1" ref="B1:B63"/>
  </sortState>
  <tableColumns count="2">
    <tableColumn id="1" name="Name" dataDxfId="0"/>
    <tableColumn id="2" name="Count" dataDxfId="0"/>
  </tableColumns>
  <tableStyleInfo showColumnStripes="0" showFirstColumn="0" showLastColumn="0" showRowStripes="1"/>
</table>
</file>

<file path=xl/tables/table2.xml><?xml version="1.0" encoding="utf-8"?>
<table xmlns="http://schemas.openxmlformats.org/spreadsheetml/2006/main" id="2" name="Table2" displayName="Table2" ref="F2:H8" totalsRowCount="1" headerRowDxfId="1" dataDxfId="0" totalsRowDxfId="1" headerRowBorderDxfId="2" tableBorderDxfId="4" totalsRowBorderDxfId="3">
  <autoFilter ref="F2:H7">
    <filterColumn colId="0" hiddenButton="1"/>
    <filterColumn colId="1" hiddenButton="1"/>
    <filterColumn colId="2" hiddenButton="1"/>
  </autoFilter>
  <tableColumns count="3">
    <tableColumn id="1" name="Name" totalsRowLabel="Total" dataDxfId="6" totalsRowDxfId="5"/>
    <tableColumn id="2" name="Count" totalsRowFunction="custom" dataDxfId="8" totalsRowDxfId="7">
      <totalsRowFormula>SUM(Table2[Count])</totalsRowFormula>
    </tableColumn>
    <tableColumn id="3" name="%" totalsRowFunction="custom" dataDxfId="10" totalsRowDxfId="9">
      <calculatedColumnFormula>Table2[[#This Row], [Count]]*100/Table2[[#Totals], [Count]]</calculatedColumnFormula>
      <totalsRowFormula>SUM(Table2[%])</totalsRowFormula>
    </tableColumn>
  </tableColumns>
  <tableStyleInfo showColumnStripes="0" showFirstColumn="0" showLastColumn="0" showRowStripes="1"/>
</table>
</file>

<file path=xl/tables/table3.xml><?xml version="1.0" encoding="utf-8"?>
<table xmlns="http://schemas.openxmlformats.org/spreadsheetml/2006/main" id="3" name="Table3" displayName="Table3" ref="F2:H9" totalsRowCount="1" headerRowDxfId="1" totalsRowDxfId="11" headerRowBorderDxfId="2" tableBorderDxfId="4" totalsRowBorderDxfId="3">
  <autoFilter ref="F2:H8">
    <filterColumn colId="0" hiddenButton="1"/>
    <filterColumn colId="1" hiddenButton="1"/>
    <filterColumn colId="2" hiddenButton="1"/>
  </autoFilter>
  <sortState ref="F3:G8">
    <sortCondition descending="1" ref="G2:G8"/>
  </sortState>
  <tableColumns count="3">
    <tableColumn id="1" name="Name" totalsRowLabel="Total" dataDxfId="6" totalsRowDxfId="12"/>
    <tableColumn id="2" name="Count" totalsRowFunction="custom" dataDxfId="14" totalsRowDxfId="13">
      <totalsRowFormula>SUM(Table3[Count])</totalsRowFormula>
    </tableColumn>
    <tableColumn id="3" name="%" totalsRowFunction="custom" dataDxfId="16" totalsRowDxfId="15">
      <calculatedColumnFormula>Table3[[#This Row], [Count]]*100/Table3[[#Totals], [Count]]</calculatedColumnFormula>
      <totalsRowFormula>SUM(Table3[%])</totalsRowFormula>
    </tableColumn>
  </tableColumns>
  <tableStyleInfo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table" Target="../tables/table1.xml" /><Relationship Id="rId3" Type="http://schemas.openxmlformats.org/officeDocument/2006/relationships/table" Target="../tables/table2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table" Target="../tables/table3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25"/>
  <cols>
    <col min="1" max="1" width="31.375" bestFit="1" customWidth="1"/>
    <col min="2" max="2" hidden="1" customWidth="1"/>
    <col min="3" max="3" width="11.875" bestFit="1" customWidth="1"/>
  </cols>
  <sheetData>
    <row r="1" ht="105">
      <c r="A1" s="1" t="s">
        <v>0</v>
      </c>
      <c r="B1" s="1"/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 t="s">
        <v>12</v>
      </c>
      <c r="O1" s="1" t="s">
        <v>13</v>
      </c>
    </row>
    <row r="2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>
        <v>102</v>
      </c>
      <c r="O2" s="1"/>
    </row>
    <row r="3" ht="15">
      <c r="A3" s="1" t="s">
        <v>14</v>
      </c>
      <c r="B3" s="1" t="s">
        <v>15</v>
      </c>
      <c r="C3" s="1" t="s">
        <v>16</v>
      </c>
      <c r="D3" s="1">
        <v>2</v>
      </c>
      <c r="E3" s="1">
        <v>0</v>
      </c>
      <c r="F3" s="1">
        <v>3</v>
      </c>
      <c r="G3" s="1">
        <v>0</v>
      </c>
      <c r="H3" s="1">
        <v>2</v>
      </c>
      <c r="I3" s="1">
        <v>0</v>
      </c>
      <c r="J3" s="1">
        <v>0</v>
      </c>
      <c r="K3" s="1">
        <v>1</v>
      </c>
      <c r="L3" s="1">
        <v>0</v>
      </c>
      <c r="M3" s="1">
        <v>1</v>
      </c>
      <c r="N3" s="1">
        <v>9</v>
      </c>
      <c r="O3" s="1"/>
    </row>
    <row r="4" ht="15">
      <c r="A4" s="1" t="s">
        <v>17</v>
      </c>
      <c r="B4" s="1" t="s">
        <v>15</v>
      </c>
      <c r="C4" s="1" t="s">
        <v>18</v>
      </c>
      <c r="D4" s="1">
        <v>2</v>
      </c>
      <c r="E4" s="1">
        <v>1</v>
      </c>
      <c r="F4" s="1">
        <v>0</v>
      </c>
      <c r="G4" s="1">
        <v>1</v>
      </c>
      <c r="H4" s="1">
        <v>0</v>
      </c>
      <c r="I4" s="1">
        <v>0</v>
      </c>
      <c r="J4" s="1">
        <v>2</v>
      </c>
      <c r="K4" s="1">
        <v>0</v>
      </c>
      <c r="L4" s="1">
        <v>0</v>
      </c>
      <c r="M4" s="1">
        <v>2</v>
      </c>
      <c r="N4" s="1">
        <v>8</v>
      </c>
      <c r="O4" s="1"/>
    </row>
    <row r="5" ht="15">
      <c r="A5" s="1" t="s">
        <v>19</v>
      </c>
      <c r="B5" s="1" t="s">
        <v>15</v>
      </c>
      <c r="C5" s="1" t="s">
        <v>16</v>
      </c>
      <c r="D5" s="1">
        <v>0</v>
      </c>
      <c r="E5" s="1">
        <v>1</v>
      </c>
      <c r="F5" s="1">
        <v>0</v>
      </c>
      <c r="G5" s="1">
        <v>2</v>
      </c>
      <c r="H5" s="1">
        <v>0</v>
      </c>
      <c r="I5" s="1">
        <v>1</v>
      </c>
      <c r="J5" s="1">
        <v>0</v>
      </c>
      <c r="K5" s="1">
        <v>1</v>
      </c>
      <c r="L5" s="1">
        <v>0</v>
      </c>
      <c r="M5" s="1">
        <v>1</v>
      </c>
      <c r="N5" s="1">
        <v>6</v>
      </c>
      <c r="O5" s="1"/>
    </row>
    <row r="6" ht="15">
      <c r="A6" s="1" t="s">
        <v>20</v>
      </c>
      <c r="B6" s="1" t="s">
        <v>15</v>
      </c>
      <c r="C6" s="1" t="s">
        <v>18</v>
      </c>
      <c r="D6" s="1">
        <v>0</v>
      </c>
      <c r="E6" s="1">
        <v>3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2</v>
      </c>
      <c r="L6" s="1">
        <v>0</v>
      </c>
      <c r="M6" s="1">
        <v>0</v>
      </c>
      <c r="N6" s="1">
        <v>6</v>
      </c>
      <c r="O6" s="1"/>
    </row>
    <row r="7" ht="15">
      <c r="A7" s="1" t="s">
        <v>21</v>
      </c>
      <c r="B7" s="1" t="s">
        <v>15</v>
      </c>
      <c r="C7" s="1" t="s">
        <v>16</v>
      </c>
      <c r="D7" s="1">
        <v>2</v>
      </c>
      <c r="E7" s="1">
        <v>0</v>
      </c>
      <c r="F7" s="1">
        <v>3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5</v>
      </c>
      <c r="O7" s="1"/>
    </row>
    <row r="8" ht="15">
      <c r="A8" s="1" t="s">
        <v>22</v>
      </c>
      <c r="B8" s="1" t="s">
        <v>15</v>
      </c>
      <c r="C8" s="1" t="s">
        <v>23</v>
      </c>
      <c r="D8" s="1">
        <v>2</v>
      </c>
      <c r="E8" s="1">
        <v>0</v>
      </c>
      <c r="F8" s="1">
        <v>1</v>
      </c>
      <c r="G8" s="1">
        <v>0</v>
      </c>
      <c r="H8" s="1">
        <v>1</v>
      </c>
      <c r="I8" s="1">
        <v>0</v>
      </c>
      <c r="J8" s="1">
        <v>0</v>
      </c>
      <c r="K8" s="1">
        <v>1</v>
      </c>
      <c r="L8" s="1">
        <v>0</v>
      </c>
      <c r="M8" s="1">
        <v>0</v>
      </c>
      <c r="N8" s="1">
        <v>5</v>
      </c>
      <c r="O8" s="1"/>
    </row>
    <row r="9" ht="15">
      <c r="A9" s="1" t="s">
        <v>24</v>
      </c>
      <c r="B9" s="1" t="s">
        <v>15</v>
      </c>
      <c r="C9" s="1" t="s">
        <v>16</v>
      </c>
      <c r="D9" s="1">
        <v>2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</v>
      </c>
      <c r="N9" s="1">
        <v>3</v>
      </c>
      <c r="O9" s="1"/>
    </row>
    <row r="10" ht="15">
      <c r="A10" s="1" t="s">
        <v>25</v>
      </c>
      <c r="B10" s="1" t="s">
        <v>15</v>
      </c>
      <c r="C10" s="1" t="s">
        <v>16</v>
      </c>
      <c r="D10" s="1">
        <v>0</v>
      </c>
      <c r="E10" s="1">
        <v>0</v>
      </c>
      <c r="F10" s="1">
        <v>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v>3</v>
      </c>
      <c r="O10" s="1"/>
    </row>
    <row r="11" ht="15">
      <c r="A11" s="1" t="s">
        <v>26</v>
      </c>
      <c r="B11" s="1" t="s">
        <v>15</v>
      </c>
      <c r="C11" s="1" t="s">
        <v>16</v>
      </c>
      <c r="D11" s="1">
        <v>1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2</v>
      </c>
      <c r="O11" s="1"/>
    </row>
    <row r="12" ht="15">
      <c r="A12" s="1" t="s">
        <v>27</v>
      </c>
      <c r="B12" s="1" t="s">
        <v>15</v>
      </c>
      <c r="C12" s="1" t="s">
        <v>16</v>
      </c>
      <c r="D12" s="1">
        <v>2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2</v>
      </c>
      <c r="O12" s="1"/>
    </row>
    <row r="13" ht="15">
      <c r="A13" s="1" t="s">
        <v>28</v>
      </c>
      <c r="B13" s="1" t="s">
        <v>15</v>
      </c>
      <c r="C13" s="1" t="s">
        <v>16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2</v>
      </c>
      <c r="O13" s="1"/>
    </row>
    <row r="14" ht="15">
      <c r="A14" s="1" t="s">
        <v>29</v>
      </c>
      <c r="B14" s="1" t="s">
        <v>15</v>
      </c>
      <c r="C14" s="1" t="s">
        <v>16</v>
      </c>
      <c r="D14" s="1">
        <v>0</v>
      </c>
      <c r="E14" s="1">
        <v>0</v>
      </c>
      <c r="F14" s="1">
        <v>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2</v>
      </c>
      <c r="O14" s="1"/>
    </row>
    <row r="15" ht="15">
      <c r="A15" s="1" t="s">
        <v>30</v>
      </c>
      <c r="B15" s="1" t="s">
        <v>15</v>
      </c>
      <c r="C15" s="1" t="s">
        <v>16</v>
      </c>
      <c r="D15" s="1">
        <v>0</v>
      </c>
      <c r="E15" s="1">
        <v>0</v>
      </c>
      <c r="F15" s="1">
        <v>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2</v>
      </c>
      <c r="O15" s="1"/>
    </row>
    <row r="16" ht="15">
      <c r="A16" s="1" t="s">
        <v>31</v>
      </c>
      <c r="B16" s="1" t="s">
        <v>15</v>
      </c>
      <c r="C16" s="1" t="s">
        <v>16</v>
      </c>
      <c r="D16" s="1">
        <v>0</v>
      </c>
      <c r="E16" s="1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2</v>
      </c>
      <c r="O16" s="1"/>
    </row>
    <row r="17" ht="15">
      <c r="A17" s="1" t="s">
        <v>32</v>
      </c>
      <c r="B17" s="1" t="s">
        <v>15</v>
      </c>
      <c r="C17" s="1" t="s">
        <v>16</v>
      </c>
      <c r="D17" s="1">
        <v>0</v>
      </c>
      <c r="E17" s="1">
        <v>0</v>
      </c>
      <c r="F17" s="1">
        <v>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2</v>
      </c>
      <c r="O17" s="1"/>
    </row>
    <row r="18" ht="15">
      <c r="A18" s="1" t="s">
        <v>33</v>
      </c>
      <c r="B18" s="1" t="s">
        <v>15</v>
      </c>
      <c r="C18" s="1" t="s">
        <v>34</v>
      </c>
      <c r="D18" s="1">
        <v>0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1</v>
      </c>
      <c r="K18" s="1">
        <v>0</v>
      </c>
      <c r="L18" s="1">
        <v>0</v>
      </c>
      <c r="M18" s="1">
        <v>0</v>
      </c>
      <c r="N18" s="1">
        <v>2</v>
      </c>
      <c r="O18" s="1"/>
    </row>
    <row r="19" ht="15">
      <c r="A19" s="1" t="s">
        <v>35</v>
      </c>
      <c r="B19" s="1" t="s">
        <v>15</v>
      </c>
      <c r="C19" s="1" t="s">
        <v>16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/>
    </row>
    <row r="20" ht="15">
      <c r="A20" s="1" t="s">
        <v>36</v>
      </c>
      <c r="B20" s="1" t="s">
        <v>15</v>
      </c>
      <c r="C20" s="1" t="s">
        <v>16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/>
    </row>
    <row r="21" ht="15">
      <c r="A21" s="1" t="s">
        <v>37</v>
      </c>
      <c r="B21" s="1" t="s">
        <v>15</v>
      </c>
      <c r="C21" s="1" t="s">
        <v>16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/>
    </row>
    <row r="22" ht="15">
      <c r="A22" s="1" t="s">
        <v>38</v>
      </c>
      <c r="B22" s="1" t="s">
        <v>15</v>
      </c>
      <c r="C22" s="1" t="s">
        <v>16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/>
    </row>
    <row r="23" ht="15">
      <c r="A23" s="1" t="s">
        <v>39</v>
      </c>
      <c r="B23" s="1" t="s">
        <v>15</v>
      </c>
      <c r="C23" s="1" t="s">
        <v>16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  <c r="O23" s="1"/>
    </row>
    <row r="24" ht="15">
      <c r="A24" s="1" t="s">
        <v>40</v>
      </c>
      <c r="B24" s="1" t="s">
        <v>15</v>
      </c>
      <c r="C24" s="1" t="s">
        <v>16</v>
      </c>
      <c r="D24" s="1">
        <v>0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</v>
      </c>
      <c r="O24" s="1"/>
    </row>
    <row r="25" hidden="1" ht="15">
      <c r="A25" s="1" t="s">
        <v>41</v>
      </c>
      <c r="B25" s="1" t="s">
        <v>42</v>
      </c>
      <c r="C25" s="1" t="s">
        <v>16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/>
    </row>
    <row r="26" ht="15">
      <c r="A26" s="1" t="s">
        <v>43</v>
      </c>
      <c r="B26" s="1" t="s">
        <v>15</v>
      </c>
      <c r="C26" s="1" t="s">
        <v>16</v>
      </c>
      <c r="D26" s="1">
        <v>0</v>
      </c>
      <c r="E26" s="1">
        <v>0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/>
    </row>
    <row r="27" ht="15">
      <c r="A27" s="1" t="s">
        <v>44</v>
      </c>
      <c r="B27" s="1" t="s">
        <v>15</v>
      </c>
      <c r="C27" s="1" t="s">
        <v>16</v>
      </c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/>
    </row>
    <row r="28" ht="15">
      <c r="A28" s="1" t="s">
        <v>45</v>
      </c>
      <c r="B28" s="1" t="s">
        <v>15</v>
      </c>
      <c r="C28" s="1" t="s">
        <v>16</v>
      </c>
      <c r="D28" s="1">
        <v>0</v>
      </c>
      <c r="E28" s="1">
        <v>0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/>
    </row>
    <row r="29" ht="15">
      <c r="A29" s="1" t="s">
        <v>46</v>
      </c>
      <c r="B29" s="1" t="s">
        <v>15</v>
      </c>
      <c r="C29" s="1" t="s">
        <v>16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</v>
      </c>
      <c r="K29" s="1">
        <v>0</v>
      </c>
      <c r="L29" s="1">
        <v>0</v>
      </c>
      <c r="M29" s="1">
        <v>0</v>
      </c>
      <c r="N29" s="1">
        <v>1</v>
      </c>
      <c r="O29" s="1"/>
    </row>
    <row r="30" ht="15">
      <c r="A30" s="1" t="s">
        <v>47</v>
      </c>
      <c r="B30" s="1" t="s">
        <v>15</v>
      </c>
      <c r="C30" s="1" t="s">
        <v>16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</v>
      </c>
      <c r="K30" s="1">
        <v>0</v>
      </c>
      <c r="L30" s="1">
        <v>0</v>
      </c>
      <c r="M30" s="1">
        <v>0</v>
      </c>
      <c r="N30" s="1">
        <v>1</v>
      </c>
      <c r="O30" s="1"/>
    </row>
    <row r="31" ht="15">
      <c r="A31" s="1" t="s">
        <v>48</v>
      </c>
      <c r="B31" s="1" t="s">
        <v>15</v>
      </c>
      <c r="C31" s="1" t="s">
        <v>16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1">
        <v>0</v>
      </c>
      <c r="L31" s="1">
        <v>0</v>
      </c>
      <c r="M31" s="1">
        <v>0</v>
      </c>
      <c r="N31" s="1">
        <v>1</v>
      </c>
      <c r="O31" s="1"/>
    </row>
    <row r="32" ht="15">
      <c r="A32" s="1" t="s">
        <v>49</v>
      </c>
      <c r="B32" s="1" t="s">
        <v>15</v>
      </c>
      <c r="C32" s="1" t="s">
        <v>16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</v>
      </c>
      <c r="L32" s="1">
        <v>0</v>
      </c>
      <c r="M32" s="1">
        <v>0</v>
      </c>
      <c r="N32" s="1">
        <v>1</v>
      </c>
      <c r="O32" s="1"/>
    </row>
    <row r="33" ht="15">
      <c r="A33" s="1" t="s">
        <v>50</v>
      </c>
      <c r="B33" s="1" t="s">
        <v>15</v>
      </c>
      <c r="C33" s="1" t="s">
        <v>16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</v>
      </c>
      <c r="L33" s="1">
        <v>0</v>
      </c>
      <c r="M33" s="1">
        <v>0</v>
      </c>
      <c r="N33" s="1">
        <v>1</v>
      </c>
      <c r="O33" s="1"/>
    </row>
    <row r="34" ht="15">
      <c r="A34" s="1" t="s">
        <v>51</v>
      </c>
      <c r="B34" s="1" t="s">
        <v>15</v>
      </c>
      <c r="C34" s="1" t="s">
        <v>16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1</v>
      </c>
      <c r="O34" s="1"/>
    </row>
    <row r="35" ht="15">
      <c r="A35" s="1" t="s">
        <v>52</v>
      </c>
      <c r="B35" s="1" t="s">
        <v>15</v>
      </c>
      <c r="C35" s="1" t="s">
        <v>16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</v>
      </c>
      <c r="N35" s="1">
        <v>1</v>
      </c>
      <c r="O35" s="1"/>
    </row>
    <row r="36" ht="15">
      <c r="A36" s="1" t="s">
        <v>53</v>
      </c>
      <c r="B36" s="1" t="s">
        <v>15</v>
      </c>
      <c r="C36" s="1" t="s">
        <v>16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  <c r="N36" s="1">
        <v>1</v>
      </c>
      <c r="O36" s="1"/>
    </row>
    <row r="37" ht="15">
      <c r="A37" s="1" t="s">
        <v>54</v>
      </c>
      <c r="B37" s="1" t="s">
        <v>15</v>
      </c>
      <c r="C37" s="1" t="s">
        <v>16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1</v>
      </c>
      <c r="O37" s="1"/>
    </row>
    <row r="38" ht="15">
      <c r="A38" s="1" t="s">
        <v>55</v>
      </c>
      <c r="B38" s="1" t="s">
        <v>15</v>
      </c>
      <c r="C38" s="1" t="s">
        <v>16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1</v>
      </c>
      <c r="O38" s="1"/>
    </row>
    <row r="39" ht="15">
      <c r="A39" s="1" t="s">
        <v>56</v>
      </c>
      <c r="B39" s="1" t="s">
        <v>15</v>
      </c>
      <c r="C39" s="1" t="s">
        <v>16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</v>
      </c>
      <c r="N39" s="1">
        <v>1</v>
      </c>
      <c r="O39" s="1"/>
    </row>
    <row r="40" ht="15">
      <c r="A40" s="1" t="s">
        <v>57</v>
      </c>
      <c r="B40" s="1" t="s">
        <v>15</v>
      </c>
      <c r="C40" s="1" t="s">
        <v>16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1</v>
      </c>
      <c r="N40" s="1">
        <v>1</v>
      </c>
      <c r="O40" s="1"/>
    </row>
    <row r="41" ht="15">
      <c r="A41" s="1" t="s">
        <v>58</v>
      </c>
      <c r="B41" s="1" t="s">
        <v>15</v>
      </c>
      <c r="C41" s="1" t="s">
        <v>16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</v>
      </c>
      <c r="N41" s="1">
        <v>1</v>
      </c>
      <c r="O41" s="1"/>
    </row>
    <row r="42" ht="15">
      <c r="A42" s="1" t="s">
        <v>59</v>
      </c>
      <c r="B42" s="1" t="s">
        <v>15</v>
      </c>
      <c r="C42" s="1" t="s">
        <v>18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1</v>
      </c>
      <c r="O42" s="1"/>
    </row>
    <row r="43" ht="15">
      <c r="A43" s="1" t="s">
        <v>60</v>
      </c>
      <c r="B43" s="1" t="s">
        <v>15</v>
      </c>
      <c r="C43" s="1" t="s">
        <v>18</v>
      </c>
      <c r="D43" s="1">
        <v>1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/>
    </row>
    <row r="44" ht="15">
      <c r="A44" s="1" t="s">
        <v>61</v>
      </c>
      <c r="B44" s="1" t="s">
        <v>15</v>
      </c>
      <c r="C44" s="1" t="s">
        <v>18</v>
      </c>
      <c r="D44" s="1">
        <v>0</v>
      </c>
      <c r="E44" s="1">
        <v>0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/>
    </row>
    <row r="45" ht="15">
      <c r="A45" s="1" t="s">
        <v>62</v>
      </c>
      <c r="B45" s="1" t="s">
        <v>15</v>
      </c>
      <c r="C45" s="1" t="s">
        <v>18</v>
      </c>
      <c r="D45" s="1">
        <v>0</v>
      </c>
      <c r="E45" s="1">
        <v>0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1</v>
      </c>
      <c r="O45" s="1"/>
    </row>
    <row r="46" ht="15">
      <c r="A46" s="1" t="s">
        <v>63</v>
      </c>
      <c r="B46" s="1" t="s">
        <v>15</v>
      </c>
      <c r="C46" s="1" t="s">
        <v>18</v>
      </c>
      <c r="D46" s="1">
        <v>0</v>
      </c>
      <c r="E46" s="1">
        <v>0</v>
      </c>
      <c r="F46" s="1">
        <v>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</v>
      </c>
      <c r="O46" s="1"/>
    </row>
    <row r="47" ht="15">
      <c r="A47" s="1" t="s">
        <v>64</v>
      </c>
      <c r="B47" s="1" t="s">
        <v>15</v>
      </c>
      <c r="C47" s="1" t="s">
        <v>18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1</v>
      </c>
      <c r="N47" s="1">
        <v>1</v>
      </c>
      <c r="O47" s="1"/>
    </row>
    <row r="48" ht="15">
      <c r="A48" s="1" t="s">
        <v>65</v>
      </c>
      <c r="B48" s="1" t="s">
        <v>15</v>
      </c>
      <c r="C48" s="3" t="s">
        <v>66</v>
      </c>
      <c r="D48" s="3">
        <v>0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/>
    </row>
    <row r="49" ht="15">
      <c r="A49" s="1" t="s">
        <v>67</v>
      </c>
      <c r="B49" s="1" t="s">
        <v>15</v>
      </c>
      <c r="C49" s="1" t="s">
        <v>34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1</v>
      </c>
      <c r="O49" s="1"/>
    </row>
    <row r="50" ht="15">
      <c r="A50" s="1" t="s">
        <v>68</v>
      </c>
      <c r="B50" s="1" t="s">
        <v>15</v>
      </c>
      <c r="C50" s="1" t="s">
        <v>34</v>
      </c>
      <c r="D50" s="1">
        <v>0</v>
      </c>
      <c r="E50" s="1">
        <v>0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  <c r="O50" s="1"/>
    </row>
    <row r="51" ht="15">
      <c r="A51" s="1" t="s">
        <v>69</v>
      </c>
      <c r="B51" s="1" t="s">
        <v>15</v>
      </c>
      <c r="C51" s="1" t="s">
        <v>34</v>
      </c>
      <c r="D51" s="1">
        <v>0</v>
      </c>
      <c r="E51" s="1">
        <v>0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/>
    </row>
    <row r="52" ht="15">
      <c r="A52" s="1" t="s">
        <v>70</v>
      </c>
      <c r="B52" s="1" t="s">
        <v>15</v>
      </c>
      <c r="C52" s="1" t="s">
        <v>34</v>
      </c>
      <c r="D52" s="1">
        <v>0</v>
      </c>
      <c r="E52" s="1">
        <v>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1</v>
      </c>
      <c r="O52" s="1"/>
    </row>
    <row r="53" ht="15">
      <c r="A53" s="1" t="s">
        <v>71</v>
      </c>
      <c r="B53" s="1" t="s">
        <v>15</v>
      </c>
      <c r="C53" s="1" t="s">
        <v>34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/>
    </row>
    <row r="54" ht="15">
      <c r="A54" s="1" t="s">
        <v>72</v>
      </c>
      <c r="B54" s="1" t="s">
        <v>15</v>
      </c>
      <c r="C54" s="1" t="s">
        <v>34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1</v>
      </c>
      <c r="K54" s="1">
        <v>0</v>
      </c>
      <c r="L54" s="1">
        <v>0</v>
      </c>
      <c r="M54" s="1">
        <v>0</v>
      </c>
      <c r="N54" s="1">
        <v>1</v>
      </c>
      <c r="O54" s="1"/>
    </row>
    <row r="55" ht="15">
      <c r="A55" s="1" t="s">
        <v>73</v>
      </c>
      <c r="B55" s="1" t="s">
        <v>15</v>
      </c>
      <c r="C55" s="1" t="s">
        <v>34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1</v>
      </c>
      <c r="N55" s="1">
        <v>1</v>
      </c>
      <c r="O55" s="1"/>
    </row>
    <row r="56" ht="15">
      <c r="A56" s="1" t="s">
        <v>74</v>
      </c>
      <c r="B56" s="1" t="s">
        <v>15</v>
      </c>
      <c r="C56" s="1" t="s">
        <v>23</v>
      </c>
      <c r="D56" s="1">
        <v>1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1</v>
      </c>
      <c r="O56" s="1"/>
    </row>
    <row r="57" ht="15">
      <c r="A57" s="1" t="s">
        <v>75</v>
      </c>
      <c r="B57" s="1" t="s">
        <v>15</v>
      </c>
      <c r="C57" s="1" t="s">
        <v>23</v>
      </c>
      <c r="D57" s="1">
        <v>0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  <c r="O57" s="1"/>
    </row>
    <row r="58" ht="15">
      <c r="A58" s="1" t="s">
        <v>76</v>
      </c>
      <c r="B58" s="1" t="s">
        <v>15</v>
      </c>
      <c r="C58" s="1" t="s">
        <v>23</v>
      </c>
      <c r="D58" s="1">
        <v>0</v>
      </c>
      <c r="E58" s="1">
        <v>0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1</v>
      </c>
      <c r="O58" s="1"/>
    </row>
    <row r="59" ht="15">
      <c r="A59" s="1" t="s">
        <v>77</v>
      </c>
      <c r="B59" s="1" t="s">
        <v>15</v>
      </c>
      <c r="C59" s="1" t="s">
        <v>23</v>
      </c>
      <c r="D59" s="1">
        <v>0</v>
      </c>
      <c r="E59" s="1">
        <v>0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  <c r="O59" s="1"/>
    </row>
  </sheetData>
  <autoFilter ref="A1:O59">
    <sortState ref="A2:O59">
      <sortCondition descending="1" ref="N1:N59"/>
    </sortState>
  </autoFilter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" sqref="A2"/>
    </sheetView>
  </sheetViews>
  <sheetFormatPr defaultRowHeight="14.25"/>
  <cols>
    <col min="1" max="1" width="28.375" bestFit="1" customWidth="1"/>
    <col min="3" max="3" width="11.875" bestFit="1" customWidth="1"/>
  </cols>
  <sheetData>
    <row r="1" ht="105">
      <c r="A1" s="1" t="s">
        <v>0</v>
      </c>
      <c r="B1" s="1"/>
      <c r="C1" s="1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ht="15">
      <c r="A2" s="1" t="s">
        <v>67</v>
      </c>
      <c r="B2" s="1" t="s">
        <v>15</v>
      </c>
      <c r="C2" s="1" t="s">
        <v>34</v>
      </c>
      <c r="D2" s="1">
        <v>2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2</v>
      </c>
    </row>
    <row r="3" ht="15">
      <c r="A3" s="1" t="s">
        <v>26</v>
      </c>
      <c r="B3" s="1" t="s">
        <v>15</v>
      </c>
      <c r="C3" s="1" t="s">
        <v>16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1</v>
      </c>
    </row>
    <row r="4" ht="15">
      <c r="A4" s="1" t="s">
        <v>27</v>
      </c>
      <c r="B4" s="1" t="s">
        <v>15</v>
      </c>
      <c r="C4" s="1" t="s">
        <v>16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</v>
      </c>
    </row>
    <row r="5" ht="15">
      <c r="A5" s="1" t="s">
        <v>17</v>
      </c>
      <c r="B5" s="1" t="s">
        <v>15</v>
      </c>
      <c r="C5" s="1" t="s">
        <v>18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v>0</v>
      </c>
      <c r="M5" s="1">
        <v>1</v>
      </c>
    </row>
    <row r="6" ht="15">
      <c r="A6" s="1" t="s">
        <v>22</v>
      </c>
      <c r="B6" s="1" t="s">
        <v>15</v>
      </c>
      <c r="C6" s="1" t="s">
        <v>23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</v>
      </c>
    </row>
    <row r="7" ht="15">
      <c r="A7" s="1" t="s">
        <v>21</v>
      </c>
      <c r="B7" s="1" t="s">
        <v>15</v>
      </c>
      <c r="C7" s="1" t="s">
        <v>16</v>
      </c>
      <c r="D7" s="1">
        <v>2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">
        <v>0</v>
      </c>
      <c r="L7" s="1">
        <v>0</v>
      </c>
      <c r="M7" s="1">
        <v>4</v>
      </c>
    </row>
    <row r="8" ht="15">
      <c r="A8" s="1" t="s">
        <v>14</v>
      </c>
      <c r="B8" s="1" t="s">
        <v>15</v>
      </c>
      <c r="C8" s="1" t="s">
        <v>16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1</v>
      </c>
      <c r="L8" s="1">
        <v>0</v>
      </c>
      <c r="M8" s="1">
        <v>3</v>
      </c>
    </row>
    <row r="9" ht="15">
      <c r="A9" s="1" t="s">
        <v>78</v>
      </c>
      <c r="B9" s="1" t="s">
        <v>15</v>
      </c>
      <c r="C9" s="1" t="s">
        <v>16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</v>
      </c>
    </row>
    <row r="10" ht="15">
      <c r="A10" s="1" t="s">
        <v>29</v>
      </c>
      <c r="B10" s="1" t="s">
        <v>15</v>
      </c>
      <c r="C10" s="1" t="s">
        <v>16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</row>
    <row r="11" ht="15">
      <c r="A11" s="1" t="s">
        <v>79</v>
      </c>
      <c r="B11" s="1" t="s">
        <v>15</v>
      </c>
      <c r="C11" s="1" t="s">
        <v>18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</v>
      </c>
    </row>
    <row r="12" ht="15">
      <c r="A12" s="1" t="s">
        <v>30</v>
      </c>
      <c r="B12" s="1" t="s">
        <v>15</v>
      </c>
      <c r="C12" s="1" t="s">
        <v>16</v>
      </c>
      <c r="D12" s="1">
        <v>1</v>
      </c>
      <c r="E12" s="1">
        <v>0</v>
      </c>
      <c r="F12" s="1">
        <v>1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3</v>
      </c>
    </row>
    <row r="13" ht="15">
      <c r="A13" s="1" t="s">
        <v>80</v>
      </c>
      <c r="B13" s="1" t="s">
        <v>15</v>
      </c>
      <c r="C13" s="1" t="s">
        <v>16</v>
      </c>
      <c r="D13" s="3">
        <v>0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</row>
    <row r="14" ht="15">
      <c r="A14" s="1" t="s">
        <v>81</v>
      </c>
      <c r="B14" s="1" t="s">
        <v>15</v>
      </c>
      <c r="C14" s="1" t="s">
        <v>16</v>
      </c>
      <c r="D14" s="3">
        <v>0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</row>
    <row r="15" ht="15">
      <c r="A15" s="1" t="s">
        <v>82</v>
      </c>
      <c r="B15" s="1" t="s">
        <v>15</v>
      </c>
      <c r="C15" s="1" t="s">
        <v>18</v>
      </c>
      <c r="D15" s="3">
        <v>0</v>
      </c>
      <c r="E15" s="1">
        <v>1</v>
      </c>
      <c r="F15" s="1">
        <v>0</v>
      </c>
      <c r="G15" s="1">
        <v>0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2</v>
      </c>
    </row>
    <row r="16" ht="15">
      <c r="A16" s="1" t="s">
        <v>68</v>
      </c>
      <c r="B16" s="1" t="s">
        <v>15</v>
      </c>
      <c r="C16" s="1" t="s">
        <v>34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</row>
    <row r="17" ht="15">
      <c r="A17" s="1" t="s">
        <v>83</v>
      </c>
      <c r="B17" s="1" t="s">
        <v>15</v>
      </c>
      <c r="C17" s="1" t="s">
        <v>34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</row>
    <row r="18" ht="15">
      <c r="A18" s="1" t="s">
        <v>84</v>
      </c>
      <c r="B18" s="1" t="s">
        <v>15</v>
      </c>
      <c r="C18" s="1" t="s">
        <v>34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</row>
    <row r="19" ht="15">
      <c r="A19" s="1" t="s">
        <v>85</v>
      </c>
      <c r="B19" s="1" t="s">
        <v>15</v>
      </c>
      <c r="C19" s="1" t="s">
        <v>66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</row>
    <row r="20" ht="15">
      <c r="A20" s="1" t="s">
        <v>86</v>
      </c>
      <c r="B20" s="1" t="s">
        <v>15</v>
      </c>
      <c r="C20" s="1" t="s">
        <v>34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</row>
    <row r="21" ht="15">
      <c r="A21" s="1" t="s">
        <v>70</v>
      </c>
      <c r="B21" s="1" t="s">
        <v>15</v>
      </c>
      <c r="C21" s="1" t="s">
        <v>34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1</v>
      </c>
      <c r="M21" s="1">
        <v>2</v>
      </c>
    </row>
    <row r="22" ht="15">
      <c r="A22" s="1" t="s">
        <v>87</v>
      </c>
      <c r="B22" s="1" t="s">
        <v>15</v>
      </c>
      <c r="C22" s="1" t="s">
        <v>34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</row>
    <row r="23" ht="15">
      <c r="A23" s="1" t="s">
        <v>77</v>
      </c>
      <c r="B23" s="1" t="s">
        <v>15</v>
      </c>
      <c r="C23" s="1" t="s">
        <v>23</v>
      </c>
      <c r="D23" s="1">
        <v>0</v>
      </c>
      <c r="E23" s="1">
        <v>0</v>
      </c>
      <c r="F23" s="1">
        <v>0</v>
      </c>
      <c r="G23" s="1">
        <v>0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</row>
    <row r="24" ht="15">
      <c r="A24" s="1" t="s">
        <v>67</v>
      </c>
      <c r="B24" s="1" t="s">
        <v>15</v>
      </c>
      <c r="C24" s="1" t="s">
        <v>34</v>
      </c>
      <c r="D24" s="1">
        <v>0</v>
      </c>
      <c r="E24" s="1">
        <v>0</v>
      </c>
      <c r="F24" s="1">
        <v>0</v>
      </c>
      <c r="G24" s="1">
        <v>0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</row>
    <row r="25" ht="15">
      <c r="A25" s="1" t="s">
        <v>88</v>
      </c>
      <c r="B25" s="1" t="s">
        <v>15</v>
      </c>
      <c r="C25" s="1" t="s">
        <v>89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0</v>
      </c>
      <c r="L25" s="1">
        <v>0</v>
      </c>
      <c r="M25" s="1">
        <v>1</v>
      </c>
    </row>
    <row r="26" ht="15">
      <c r="A26" s="1" t="s">
        <v>90</v>
      </c>
      <c r="B26" s="1" t="s">
        <v>15</v>
      </c>
      <c r="C26" s="1" t="s">
        <v>18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0</v>
      </c>
      <c r="L26" s="1">
        <v>0</v>
      </c>
      <c r="M26" s="1">
        <v>1</v>
      </c>
    </row>
    <row r="27" ht="15">
      <c r="A27" s="1" t="s">
        <v>91</v>
      </c>
      <c r="B27" s="1" t="s">
        <v>15</v>
      </c>
      <c r="C27" s="1" t="s">
        <v>16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1</v>
      </c>
      <c r="K27" s="1">
        <v>0</v>
      </c>
      <c r="L27" s="1">
        <v>0</v>
      </c>
      <c r="M27" s="1">
        <v>1</v>
      </c>
    </row>
    <row r="28" ht="15">
      <c r="A28" s="1" t="s">
        <v>92</v>
      </c>
      <c r="B28" s="1" t="s">
        <v>15</v>
      </c>
      <c r="C28" s="1" t="s">
        <v>23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1</v>
      </c>
    </row>
    <row r="29" ht="15">
      <c r="A29" s="1" t="s">
        <v>93</v>
      </c>
      <c r="B29" s="1" t="s">
        <v>15</v>
      </c>
      <c r="C29" s="1" t="s">
        <v>34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1</v>
      </c>
    </row>
    <row r="30" ht="15">
      <c r="A30" s="1" t="s">
        <v>94</v>
      </c>
      <c r="B30" s="1" t="s">
        <v>15</v>
      </c>
      <c r="C30" s="1" t="s">
        <v>16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1</v>
      </c>
      <c r="M30" s="1">
        <v>1</v>
      </c>
    </row>
    <row r="31" ht="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>
        <v>39</v>
      </c>
    </row>
  </sheetData>
  <autoFilter ref="A1:M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J7" sqref="J7"/>
    </sheetView>
  </sheetViews>
  <sheetFormatPr defaultRowHeight="14.25"/>
  <cols>
    <col min="1" max="1" width="23" bestFit="1" customWidth="1"/>
    <col min="2" max="2" width="18.625" bestFit="1" customWidth="1"/>
    <col min="3" max="3" width="23" bestFit="1" customWidth="1"/>
    <col min="5" max="5" width="23" bestFit="1" customWidth="1"/>
    <col min="9" max="9" width="23" bestFit="1" customWidth="1"/>
  </cols>
  <sheetData>
    <row r="1" ht="15">
      <c r="A1" s="3" t="s">
        <v>95</v>
      </c>
      <c r="B1" s="3" t="s">
        <v>96</v>
      </c>
      <c r="C1" s="3" t="s">
        <v>97</v>
      </c>
      <c r="D1" s="4"/>
      <c r="E1" s="4"/>
      <c r="F1" s="4"/>
    </row>
    <row r="2" ht="15">
      <c r="A2" s="1" t="s">
        <v>98</v>
      </c>
      <c r="B2" s="1" t="s">
        <v>99</v>
      </c>
      <c r="C2" s="1" t="s">
        <v>100</v>
      </c>
      <c r="D2" s="4"/>
      <c r="E2" s="1" t="s">
        <v>101</v>
      </c>
      <c r="F2" s="4">
        <v>2</v>
      </c>
    </row>
    <row r="3" ht="15">
      <c r="A3" s="1" t="s">
        <v>102</v>
      </c>
      <c r="B3" s="1" t="s">
        <v>103</v>
      </c>
      <c r="C3" s="1" t="s">
        <v>104</v>
      </c>
      <c r="D3" s="4"/>
      <c r="E3" s="1" t="s">
        <v>98</v>
      </c>
      <c r="F3" s="4">
        <v>1</v>
      </c>
      <c r="I3" s="1" t="s">
        <v>102</v>
      </c>
      <c r="J3" s="4">
        <v>7</v>
      </c>
    </row>
    <row r="4" ht="15">
      <c r="A4" s="1" t="s">
        <v>105</v>
      </c>
      <c r="B4" s="1" t="s">
        <v>106</v>
      </c>
      <c r="C4" s="1" t="s">
        <v>21</v>
      </c>
      <c r="D4" s="4"/>
      <c r="E4" s="1" t="s">
        <v>105</v>
      </c>
      <c r="F4" s="4">
        <v>1</v>
      </c>
      <c r="I4" s="1" t="s">
        <v>103</v>
      </c>
      <c r="J4" s="4">
        <v>2</v>
      </c>
    </row>
    <row r="5" ht="15">
      <c r="A5" s="1" t="s">
        <v>102</v>
      </c>
      <c r="B5" s="1" t="s">
        <v>107</v>
      </c>
      <c r="C5" s="1" t="s">
        <v>103</v>
      </c>
      <c r="D5" s="4"/>
      <c r="E5" s="1" t="s">
        <v>99</v>
      </c>
      <c r="F5" s="4">
        <v>1</v>
      </c>
      <c r="I5" s="1" t="s">
        <v>104</v>
      </c>
      <c r="J5" s="4">
        <v>1</v>
      </c>
    </row>
    <row r="6" ht="15">
      <c r="A6" s="1" t="s">
        <v>99</v>
      </c>
      <c r="B6" s="1" t="s">
        <v>108</v>
      </c>
      <c r="C6" s="1" t="s">
        <v>109</v>
      </c>
      <c r="D6" s="4"/>
      <c r="E6" s="1" t="s">
        <v>110</v>
      </c>
      <c r="F6" s="4">
        <v>1</v>
      </c>
      <c r="I6" t="s">
        <v>12</v>
      </c>
      <c r="J6">
        <f>SUM(J3:J5)</f>
        <v>10</v>
      </c>
    </row>
    <row r="7" ht="15">
      <c r="A7" s="1" t="s">
        <v>103</v>
      </c>
      <c r="B7" s="1" t="s">
        <v>111</v>
      </c>
      <c r="C7" s="1" t="s">
        <v>112</v>
      </c>
      <c r="D7" s="4"/>
      <c r="E7" s="1" t="s">
        <v>113</v>
      </c>
      <c r="F7" s="4">
        <v>1</v>
      </c>
    </row>
    <row r="8" ht="15">
      <c r="A8" s="1" t="s">
        <v>110</v>
      </c>
      <c r="B8" s="1" t="s">
        <v>114</v>
      </c>
      <c r="C8" s="1" t="s">
        <v>106</v>
      </c>
      <c r="D8" s="4"/>
      <c r="E8" s="1" t="s">
        <v>109</v>
      </c>
      <c r="F8" s="4">
        <v>1</v>
      </c>
    </row>
    <row r="9" ht="15">
      <c r="A9" s="1" t="s">
        <v>102</v>
      </c>
      <c r="B9" s="1" t="s">
        <v>115</v>
      </c>
      <c r="C9" s="1" t="s">
        <v>112</v>
      </c>
      <c r="D9" s="4"/>
      <c r="E9" s="1" t="s">
        <v>116</v>
      </c>
      <c r="F9" s="4">
        <v>1</v>
      </c>
    </row>
    <row r="10" ht="15">
      <c r="A10" s="1" t="s">
        <v>113</v>
      </c>
      <c r="B10" s="1" t="s">
        <v>117</v>
      </c>
      <c r="C10" s="1" t="s">
        <v>118</v>
      </c>
      <c r="D10" s="4"/>
      <c r="E10" s="1" t="s">
        <v>119</v>
      </c>
      <c r="F10" s="4">
        <v>1</v>
      </c>
    </row>
    <row r="11" ht="15">
      <c r="A11" s="1" t="s">
        <v>102</v>
      </c>
      <c r="B11" s="1" t="s">
        <v>115</v>
      </c>
      <c r="C11" s="1" t="s">
        <v>104</v>
      </c>
      <c r="D11" s="4"/>
      <c r="E11" t="s">
        <v>12</v>
      </c>
      <c r="F11">
        <f>SUM(F2:F10)</f>
        <v>10</v>
      </c>
    </row>
    <row r="12" ht="15">
      <c r="A12" s="1" t="s">
        <v>109</v>
      </c>
      <c r="B12" s="1" t="s">
        <v>120</v>
      </c>
      <c r="C12" s="1" t="s">
        <v>116</v>
      </c>
      <c r="D12" s="4"/>
    </row>
    <row r="13" ht="15">
      <c r="A13" s="1" t="s">
        <v>102</v>
      </c>
      <c r="B13" s="1" t="s">
        <v>121</v>
      </c>
      <c r="C13" s="1" t="s">
        <v>122</v>
      </c>
      <c r="D13" s="4"/>
    </row>
    <row r="14" ht="15">
      <c r="A14" s="1" t="s">
        <v>101</v>
      </c>
      <c r="B14" s="1" t="s">
        <v>123</v>
      </c>
      <c r="C14" s="1" t="s">
        <v>99</v>
      </c>
      <c r="D14" s="4"/>
    </row>
    <row r="15" ht="15">
      <c r="A15" s="1" t="s">
        <v>103</v>
      </c>
      <c r="B15" s="1" t="s">
        <v>112</v>
      </c>
      <c r="C15" s="1" t="s">
        <v>124</v>
      </c>
      <c r="D15" s="4"/>
    </row>
    <row r="16" ht="15">
      <c r="A16" s="1" t="s">
        <v>101</v>
      </c>
      <c r="B16" s="1" t="s">
        <v>106</v>
      </c>
      <c r="C16" s="1" t="s">
        <v>99</v>
      </c>
      <c r="D16" s="4"/>
    </row>
    <row r="17" ht="15">
      <c r="A17" s="1" t="s">
        <v>104</v>
      </c>
      <c r="B17" s="1" t="s">
        <v>125</v>
      </c>
      <c r="C17" s="1" t="s">
        <v>124</v>
      </c>
      <c r="D17" s="4"/>
    </row>
    <row r="18" ht="15">
      <c r="A18" s="1" t="s">
        <v>116</v>
      </c>
      <c r="B18" s="1" t="s">
        <v>109</v>
      </c>
      <c r="C18" s="1" t="s">
        <v>99</v>
      </c>
      <c r="D18" s="4"/>
    </row>
    <row r="19" ht="15">
      <c r="A19" s="1" t="s">
        <v>102</v>
      </c>
      <c r="B19" s="1" t="s">
        <v>126</v>
      </c>
      <c r="C19" s="1" t="s">
        <v>127</v>
      </c>
      <c r="D19" s="4"/>
    </row>
    <row r="20" ht="15">
      <c r="A20" s="1" t="s">
        <v>119</v>
      </c>
      <c r="B20" s="1" t="s">
        <v>120</v>
      </c>
      <c r="C20" s="1" t="s">
        <v>118</v>
      </c>
      <c r="D20" s="4"/>
    </row>
    <row r="21" ht="15">
      <c r="A21" s="1" t="s">
        <v>102</v>
      </c>
      <c r="B21" s="1" t="s">
        <v>103</v>
      </c>
      <c r="C21" s="1" t="s">
        <v>126</v>
      </c>
      <c r="D21" s="4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 topLeftCell="E138">
      <selection activeCell="E164" sqref="E164"/>
    </sheetView>
  </sheetViews>
  <sheetFormatPr defaultRowHeight="14.25"/>
  <cols>
    <col min="1" max="1" width="31.375" bestFit="1" customWidth="1"/>
    <col min="5" max="5" width="31.375" bestFit="1" customWidth="1"/>
  </cols>
  <sheetData>
    <row r="1" ht="15">
      <c r="A1" s="4" t="s">
        <v>67</v>
      </c>
      <c r="B1" s="4">
        <v>1</v>
      </c>
      <c r="E1" t="s">
        <v>128</v>
      </c>
      <c r="F1" t="s">
        <v>129</v>
      </c>
    </row>
    <row r="2" ht="15">
      <c r="A2" s="4" t="s">
        <v>130</v>
      </c>
      <c r="B2" s="4">
        <v>9</v>
      </c>
      <c r="E2" s="4" t="s">
        <v>67</v>
      </c>
      <c r="F2" s="4">
        <v>1</v>
      </c>
    </row>
    <row r="3" ht="15">
      <c r="A3" s="4" t="s">
        <v>131</v>
      </c>
      <c r="B3" s="4">
        <v>1</v>
      </c>
      <c r="E3" s="4" t="s">
        <v>130</v>
      </c>
      <c r="F3" s="4">
        <v>9</v>
      </c>
      <c r="H3" s="4" t="s">
        <v>130</v>
      </c>
      <c r="I3" s="4">
        <v>9</v>
      </c>
    </row>
    <row r="4" ht="15">
      <c r="A4" s="4" t="s">
        <v>26</v>
      </c>
      <c r="B4" s="4">
        <v>2</v>
      </c>
      <c r="E4" s="4" t="s">
        <v>131</v>
      </c>
      <c r="F4" s="4">
        <v>1</v>
      </c>
      <c r="H4" s="4" t="s">
        <v>132</v>
      </c>
      <c r="I4" s="4">
        <v>63</v>
      </c>
    </row>
    <row r="5" ht="15">
      <c r="A5" s="4" t="s">
        <v>132</v>
      </c>
      <c r="B5" s="4">
        <v>63</v>
      </c>
      <c r="E5" s="4" t="s">
        <v>26</v>
      </c>
      <c r="F5" s="4">
        <v>2</v>
      </c>
      <c r="H5" s="4" t="s">
        <v>133</v>
      </c>
      <c r="I5" s="4">
        <v>21</v>
      </c>
    </row>
    <row r="6" ht="15">
      <c r="A6" s="4" t="s">
        <v>134</v>
      </c>
      <c r="B6" s="4">
        <v>1</v>
      </c>
      <c r="E6" s="4" t="s">
        <v>132</v>
      </c>
      <c r="F6" s="4">
        <v>63</v>
      </c>
      <c r="H6" s="4" t="s">
        <v>135</v>
      </c>
      <c r="I6" s="4">
        <v>7</v>
      </c>
    </row>
    <row r="7" ht="15">
      <c r="A7" s="4" t="s">
        <v>27</v>
      </c>
      <c r="B7" s="4">
        <v>2</v>
      </c>
      <c r="E7" s="4" t="s">
        <v>134</v>
      </c>
      <c r="F7" s="4">
        <v>1</v>
      </c>
    </row>
    <row r="8" ht="15">
      <c r="A8" s="4" t="s">
        <v>132</v>
      </c>
      <c r="B8" s="4">
        <v>63</v>
      </c>
      <c r="E8" s="4" t="s">
        <v>27</v>
      </c>
      <c r="F8" s="4">
        <v>2</v>
      </c>
    </row>
    <row r="9" ht="15">
      <c r="A9" s="4" t="s">
        <v>136</v>
      </c>
      <c r="B9" s="4">
        <v>1</v>
      </c>
      <c r="E9" s="4" t="s">
        <v>136</v>
      </c>
      <c r="F9" s="4">
        <v>1</v>
      </c>
    </row>
    <row r="10" ht="15">
      <c r="A10" s="4" t="s">
        <v>59</v>
      </c>
      <c r="B10" s="4">
        <v>1</v>
      </c>
      <c r="E10" s="4" t="s">
        <v>59</v>
      </c>
      <c r="F10" s="4">
        <v>1</v>
      </c>
    </row>
    <row r="11" ht="15">
      <c r="A11" s="4" t="s">
        <v>133</v>
      </c>
      <c r="B11" s="4">
        <v>21</v>
      </c>
      <c r="E11" s="4" t="s">
        <v>133</v>
      </c>
      <c r="F11" s="4">
        <v>21</v>
      </c>
    </row>
    <row r="12" ht="15">
      <c r="A12" s="4" t="s">
        <v>137</v>
      </c>
      <c r="B12" s="4">
        <v>1</v>
      </c>
      <c r="E12" s="4" t="s">
        <v>137</v>
      </c>
      <c r="F12" s="4">
        <v>1</v>
      </c>
    </row>
    <row r="13" ht="15">
      <c r="A13" s="4" t="s">
        <v>17</v>
      </c>
      <c r="B13" s="4">
        <v>8</v>
      </c>
      <c r="E13" s="4" t="s">
        <v>17</v>
      </c>
      <c r="F13" s="4">
        <v>8</v>
      </c>
    </row>
    <row r="14" ht="15">
      <c r="A14" s="4" t="s">
        <v>133</v>
      </c>
      <c r="B14" s="4">
        <v>21</v>
      </c>
      <c r="E14" s="4" t="s">
        <v>138</v>
      </c>
      <c r="F14" s="4">
        <v>1</v>
      </c>
    </row>
    <row r="15" ht="15">
      <c r="A15" s="4" t="s">
        <v>138</v>
      </c>
      <c r="B15" s="4">
        <v>1</v>
      </c>
      <c r="E15" s="4" t="s">
        <v>35</v>
      </c>
      <c r="F15" s="4">
        <v>1</v>
      </c>
    </row>
    <row r="16" ht="15">
      <c r="A16" s="4" t="s">
        <v>35</v>
      </c>
      <c r="B16" s="4">
        <v>1</v>
      </c>
      <c r="E16" s="4" t="s">
        <v>139</v>
      </c>
      <c r="F16" s="4">
        <v>1</v>
      </c>
    </row>
    <row r="17" ht="15">
      <c r="A17" s="4" t="s">
        <v>132</v>
      </c>
      <c r="B17" s="4">
        <v>63</v>
      </c>
      <c r="E17" s="4" t="s">
        <v>24</v>
      </c>
      <c r="F17" s="4">
        <v>3</v>
      </c>
    </row>
    <row r="18" ht="15">
      <c r="A18" s="4" t="s">
        <v>139</v>
      </c>
      <c r="B18" s="4">
        <v>1</v>
      </c>
      <c r="E18" s="4" t="s">
        <v>140</v>
      </c>
      <c r="F18" s="4">
        <v>1</v>
      </c>
    </row>
    <row r="19" ht="15">
      <c r="A19" s="4" t="s">
        <v>24</v>
      </c>
      <c r="B19" s="4">
        <v>3</v>
      </c>
      <c r="E19" s="4" t="s">
        <v>60</v>
      </c>
      <c r="F19" s="4">
        <v>1</v>
      </c>
    </row>
    <row r="20" ht="15">
      <c r="A20" s="4" t="s">
        <v>132</v>
      </c>
      <c r="B20" s="4">
        <v>63</v>
      </c>
      <c r="E20" s="4" t="s">
        <v>141</v>
      </c>
      <c r="F20" s="4">
        <v>1</v>
      </c>
    </row>
    <row r="21" ht="15">
      <c r="A21" s="4" t="s">
        <v>140</v>
      </c>
      <c r="B21" s="4">
        <v>1</v>
      </c>
      <c r="E21" s="4" t="s">
        <v>36</v>
      </c>
      <c r="F21" s="4">
        <v>1</v>
      </c>
    </row>
    <row r="22" ht="15">
      <c r="A22" s="4" t="s">
        <v>60</v>
      </c>
      <c r="B22" s="4">
        <v>1</v>
      </c>
      <c r="E22" s="4" t="s">
        <v>142</v>
      </c>
      <c r="F22" s="4">
        <v>1</v>
      </c>
    </row>
    <row r="23" ht="15">
      <c r="A23" s="4" t="s">
        <v>133</v>
      </c>
      <c r="B23" s="4">
        <v>21</v>
      </c>
      <c r="E23" s="4" t="s">
        <v>143</v>
      </c>
      <c r="F23" s="4">
        <v>1</v>
      </c>
    </row>
    <row r="24" ht="15">
      <c r="A24" s="4" t="s">
        <v>141</v>
      </c>
      <c r="B24" s="4">
        <v>1</v>
      </c>
      <c r="E24" s="4" t="s">
        <v>37</v>
      </c>
      <c r="F24" s="4">
        <v>1</v>
      </c>
    </row>
    <row r="25" ht="15">
      <c r="A25" s="4" t="s">
        <v>36</v>
      </c>
      <c r="B25" s="4">
        <v>1</v>
      </c>
      <c r="E25" s="4" t="s">
        <v>144</v>
      </c>
      <c r="F25" s="4">
        <v>1</v>
      </c>
    </row>
    <row r="26" ht="15">
      <c r="A26" s="4" t="s">
        <v>132</v>
      </c>
      <c r="B26" s="4">
        <v>63</v>
      </c>
      <c r="E26" s="4" t="s">
        <v>38</v>
      </c>
      <c r="F26" s="4">
        <v>1</v>
      </c>
    </row>
    <row r="27" ht="15">
      <c r="A27" s="4" t="s">
        <v>142</v>
      </c>
      <c r="B27" s="4">
        <v>1</v>
      </c>
      <c r="E27" s="4" t="s">
        <v>145</v>
      </c>
      <c r="F27" s="4">
        <v>1</v>
      </c>
    </row>
    <row r="28" ht="15">
      <c r="A28" s="4" t="s">
        <v>17</v>
      </c>
      <c r="B28" s="4">
        <v>8</v>
      </c>
      <c r="E28" s="4" t="s">
        <v>74</v>
      </c>
      <c r="F28" s="4">
        <v>1</v>
      </c>
    </row>
    <row r="29" ht="15">
      <c r="A29" s="4" t="s">
        <v>133</v>
      </c>
      <c r="B29" s="4">
        <v>21</v>
      </c>
      <c r="E29" s="4" t="s">
        <v>135</v>
      </c>
      <c r="F29" s="4">
        <v>7</v>
      </c>
    </row>
    <row r="30" ht="15">
      <c r="A30" s="4" t="s">
        <v>143</v>
      </c>
      <c r="B30" s="4">
        <v>1</v>
      </c>
      <c r="E30" s="4" t="s">
        <v>146</v>
      </c>
      <c r="F30" s="4">
        <v>1</v>
      </c>
    </row>
    <row r="31" ht="15">
      <c r="A31" s="4" t="s">
        <v>37</v>
      </c>
      <c r="B31" s="4">
        <v>1</v>
      </c>
      <c r="E31" s="4" t="s">
        <v>22</v>
      </c>
      <c r="F31" s="4">
        <v>5</v>
      </c>
    </row>
    <row r="32" ht="15">
      <c r="A32" s="4" t="s">
        <v>132</v>
      </c>
      <c r="B32" s="4">
        <v>63</v>
      </c>
      <c r="E32" s="4" t="s">
        <v>147</v>
      </c>
      <c r="F32" s="4">
        <v>1</v>
      </c>
    </row>
    <row r="33" ht="15">
      <c r="A33" s="4" t="s">
        <v>144</v>
      </c>
      <c r="B33" s="4">
        <v>1</v>
      </c>
      <c r="E33" s="4" t="s">
        <v>148</v>
      </c>
      <c r="F33" s="4">
        <v>1</v>
      </c>
    </row>
    <row r="34" ht="15">
      <c r="A34" s="4" t="s">
        <v>38</v>
      </c>
      <c r="B34" s="4">
        <v>1</v>
      </c>
      <c r="E34" s="4" t="s">
        <v>149</v>
      </c>
      <c r="F34" s="4">
        <v>1</v>
      </c>
    </row>
    <row r="35" ht="15">
      <c r="A35" s="4" t="s">
        <v>132</v>
      </c>
      <c r="B35" s="4">
        <v>63</v>
      </c>
      <c r="E35" s="4" t="s">
        <v>21</v>
      </c>
      <c r="F35" s="4">
        <v>2</v>
      </c>
    </row>
    <row r="36" ht="15">
      <c r="A36" s="4" t="s">
        <v>145</v>
      </c>
      <c r="B36" s="4">
        <v>1</v>
      </c>
      <c r="E36" s="4" t="s">
        <v>150</v>
      </c>
      <c r="F36" s="4">
        <v>2</v>
      </c>
    </row>
    <row r="37" ht="15">
      <c r="A37" s="4" t="s">
        <v>74</v>
      </c>
      <c r="B37" s="4">
        <v>1</v>
      </c>
      <c r="E37" s="4" t="s">
        <v>151</v>
      </c>
      <c r="F37" s="4">
        <v>1</v>
      </c>
    </row>
    <row r="38" ht="15">
      <c r="A38" s="4" t="s">
        <v>135</v>
      </c>
      <c r="B38" s="4">
        <v>7</v>
      </c>
      <c r="E38" s="4" t="s">
        <v>14</v>
      </c>
      <c r="F38" s="4">
        <v>9</v>
      </c>
    </row>
    <row r="39" ht="15">
      <c r="A39" s="4" t="s">
        <v>146</v>
      </c>
      <c r="B39" s="4">
        <v>1</v>
      </c>
      <c r="E39" s="4" t="s">
        <v>152</v>
      </c>
      <c r="F39" s="4">
        <v>1</v>
      </c>
    </row>
    <row r="40" ht="15">
      <c r="A40" s="4" t="s">
        <v>22</v>
      </c>
      <c r="B40" s="4">
        <v>5</v>
      </c>
      <c r="E40" s="4" t="s">
        <v>153</v>
      </c>
      <c r="F40" s="4">
        <v>1</v>
      </c>
    </row>
    <row r="41" ht="15">
      <c r="A41" s="4" t="s">
        <v>135</v>
      </c>
      <c r="B41" s="4">
        <v>7</v>
      </c>
      <c r="E41" s="4" t="s">
        <v>154</v>
      </c>
      <c r="F41" s="4">
        <v>1</v>
      </c>
    </row>
    <row r="42" ht="15">
      <c r="A42" s="4" t="s">
        <v>147</v>
      </c>
      <c r="B42" s="4">
        <v>1</v>
      </c>
      <c r="E42" s="4" t="s">
        <v>28</v>
      </c>
      <c r="F42" s="4">
        <v>2</v>
      </c>
    </row>
    <row r="43" ht="15">
      <c r="A43" s="4" t="s">
        <v>27</v>
      </c>
      <c r="B43" s="4">
        <v>2</v>
      </c>
      <c r="E43" s="4" t="s">
        <v>155</v>
      </c>
      <c r="F43" s="4">
        <v>1</v>
      </c>
    </row>
    <row r="44" ht="15">
      <c r="A44" s="4" t="s">
        <v>132</v>
      </c>
      <c r="B44" s="4">
        <v>63</v>
      </c>
      <c r="E44" s="4" t="s">
        <v>65</v>
      </c>
      <c r="F44" s="4">
        <v>1</v>
      </c>
    </row>
    <row r="45" ht="15">
      <c r="A45" s="4" t="s">
        <v>148</v>
      </c>
      <c r="B45" s="4">
        <v>1</v>
      </c>
      <c r="E45" s="4" t="s">
        <v>156</v>
      </c>
      <c r="F45" s="4">
        <v>1</v>
      </c>
    </row>
    <row r="46" ht="15">
      <c r="A46" s="4" t="s">
        <v>24</v>
      </c>
      <c r="B46" s="4">
        <v>3</v>
      </c>
      <c r="E46" s="4" t="s">
        <v>157</v>
      </c>
      <c r="F46" s="4">
        <v>1</v>
      </c>
    </row>
    <row r="47" ht="15">
      <c r="A47" s="4" t="s">
        <v>132</v>
      </c>
      <c r="B47" s="4">
        <v>63</v>
      </c>
      <c r="E47" s="4" t="s">
        <v>33</v>
      </c>
      <c r="F47" s="4">
        <v>2</v>
      </c>
    </row>
    <row r="48" ht="15">
      <c r="A48" s="4" t="s">
        <v>149</v>
      </c>
      <c r="B48" s="4">
        <v>1</v>
      </c>
      <c r="E48" s="4" t="s">
        <v>158</v>
      </c>
      <c r="F48" s="4">
        <v>1</v>
      </c>
    </row>
    <row r="49" ht="15">
      <c r="A49" s="4" t="s">
        <v>21</v>
      </c>
      <c r="B49" s="4">
        <v>2</v>
      </c>
      <c r="E49" s="4" t="s">
        <v>39</v>
      </c>
      <c r="F49" s="4">
        <v>1</v>
      </c>
    </row>
    <row r="50" ht="15">
      <c r="A50" s="4" t="s">
        <v>132</v>
      </c>
      <c r="B50" s="4">
        <v>63</v>
      </c>
      <c r="E50" s="4" t="s">
        <v>159</v>
      </c>
      <c r="F50" s="4">
        <v>1</v>
      </c>
    </row>
    <row r="51" ht="15">
      <c r="A51" s="4" t="s">
        <v>150</v>
      </c>
      <c r="B51" s="4">
        <v>2</v>
      </c>
      <c r="E51" s="4" t="s">
        <v>40</v>
      </c>
      <c r="F51" s="4">
        <v>1</v>
      </c>
    </row>
    <row r="52" ht="15">
      <c r="A52" s="4" t="s">
        <v>22</v>
      </c>
      <c r="B52" s="4">
        <v>5</v>
      </c>
      <c r="E52" s="4" t="s">
        <v>160</v>
      </c>
      <c r="F52" s="4">
        <v>1</v>
      </c>
    </row>
    <row r="53" ht="15">
      <c r="A53" s="4" t="s">
        <v>135</v>
      </c>
      <c r="B53" s="4">
        <v>7</v>
      </c>
      <c r="E53" s="4" t="s">
        <v>20</v>
      </c>
      <c r="F53" s="4">
        <v>6</v>
      </c>
    </row>
    <row r="54" ht="15">
      <c r="A54" s="4" t="s">
        <v>151</v>
      </c>
      <c r="B54" s="4">
        <v>1</v>
      </c>
      <c r="E54" s="4" t="s">
        <v>161</v>
      </c>
      <c r="F54" s="4">
        <v>1</v>
      </c>
    </row>
    <row r="55" ht="15">
      <c r="A55" s="4" t="s">
        <v>14</v>
      </c>
      <c r="B55" s="4">
        <v>9</v>
      </c>
      <c r="E55" s="4" t="s">
        <v>19</v>
      </c>
      <c r="F55" s="4">
        <v>6</v>
      </c>
    </row>
    <row r="56" ht="15">
      <c r="A56" s="4" t="s">
        <v>132</v>
      </c>
      <c r="B56" s="4">
        <v>63</v>
      </c>
      <c r="E56" s="4" t="s">
        <v>162</v>
      </c>
      <c r="F56" s="4">
        <v>1</v>
      </c>
    </row>
    <row r="57" ht="15">
      <c r="A57" s="4" t="s">
        <v>152</v>
      </c>
      <c r="B57" s="4">
        <v>1</v>
      </c>
      <c r="E57" s="4" t="s">
        <v>163</v>
      </c>
      <c r="F57" s="4">
        <v>1</v>
      </c>
    </row>
    <row r="58" ht="15">
      <c r="A58" s="4" t="s">
        <v>21</v>
      </c>
      <c r="B58" s="4">
        <v>2</v>
      </c>
      <c r="E58" s="4" t="s">
        <v>31</v>
      </c>
      <c r="F58" s="4">
        <v>2</v>
      </c>
    </row>
    <row r="59" ht="15">
      <c r="A59" s="4" t="s">
        <v>132</v>
      </c>
      <c r="B59" s="4">
        <v>63</v>
      </c>
      <c r="E59" s="4" t="s">
        <v>164</v>
      </c>
      <c r="F59" s="4">
        <v>1</v>
      </c>
    </row>
    <row r="60" ht="15">
      <c r="A60" s="4" t="s">
        <v>153</v>
      </c>
      <c r="B60" s="4">
        <v>1</v>
      </c>
      <c r="E60" s="4" t="s">
        <v>75</v>
      </c>
      <c r="F60" s="4">
        <v>1</v>
      </c>
    </row>
    <row r="61" ht="15">
      <c r="A61" s="4" t="s">
        <v>14</v>
      </c>
      <c r="B61" s="4">
        <v>9</v>
      </c>
      <c r="E61" s="4" t="s">
        <v>165</v>
      </c>
      <c r="F61" s="4">
        <v>1</v>
      </c>
    </row>
    <row r="62" ht="15">
      <c r="A62" s="4" t="s">
        <v>132</v>
      </c>
      <c r="B62" s="4">
        <v>63</v>
      </c>
      <c r="E62" s="4" t="s">
        <v>166</v>
      </c>
      <c r="F62" s="4">
        <v>1</v>
      </c>
    </row>
    <row r="63" ht="15">
      <c r="A63" s="4" t="s">
        <v>154</v>
      </c>
      <c r="B63" s="4">
        <v>1</v>
      </c>
      <c r="E63" s="4" t="s">
        <v>167</v>
      </c>
      <c r="F63" s="4">
        <v>1</v>
      </c>
    </row>
    <row r="64" ht="15">
      <c r="A64" s="4" t="s">
        <v>28</v>
      </c>
      <c r="B64" s="4">
        <v>2</v>
      </c>
      <c r="E64" s="4" t="s">
        <v>61</v>
      </c>
      <c r="F64" s="4">
        <v>1</v>
      </c>
    </row>
    <row r="65" ht="15">
      <c r="A65" s="4" t="s">
        <v>132</v>
      </c>
      <c r="B65" s="4">
        <v>63</v>
      </c>
      <c r="E65" s="4" t="s">
        <v>168</v>
      </c>
      <c r="F65" s="4">
        <v>1</v>
      </c>
    </row>
    <row r="66" ht="15">
      <c r="A66" s="4" t="s">
        <v>155</v>
      </c>
      <c r="B66" s="4">
        <v>1</v>
      </c>
      <c r="E66" s="4" t="s">
        <v>62</v>
      </c>
      <c r="F66" s="4">
        <v>1</v>
      </c>
    </row>
    <row r="67" ht="15">
      <c r="A67" s="4" t="s">
        <v>65</v>
      </c>
      <c r="B67" s="4">
        <v>1</v>
      </c>
      <c r="E67" s="4" t="s">
        <v>169</v>
      </c>
      <c r="F67" s="4">
        <v>1</v>
      </c>
    </row>
    <row r="68" ht="15">
      <c r="A68" s="4" t="s">
        <v>156</v>
      </c>
      <c r="B68" s="4">
        <v>1</v>
      </c>
      <c r="E68" s="4" t="s">
        <v>170</v>
      </c>
      <c r="F68" s="4">
        <v>1</v>
      </c>
    </row>
    <row r="69" ht="15">
      <c r="A69" s="4" t="s">
        <v>157</v>
      </c>
      <c r="B69" s="4">
        <v>1</v>
      </c>
      <c r="E69" s="4" t="s">
        <v>30</v>
      </c>
      <c r="F69" s="4">
        <v>2</v>
      </c>
    </row>
    <row r="70" ht="15">
      <c r="A70" s="4" t="s">
        <v>33</v>
      </c>
      <c r="B70" s="4">
        <v>2</v>
      </c>
      <c r="E70" s="4" t="s">
        <v>171</v>
      </c>
      <c r="F70" s="4">
        <v>1</v>
      </c>
    </row>
    <row r="71" ht="15">
      <c r="A71" s="4" t="s">
        <v>130</v>
      </c>
      <c r="B71" s="4">
        <v>9</v>
      </c>
      <c r="E71" s="4" t="s">
        <v>76</v>
      </c>
      <c r="F71" s="4">
        <v>1</v>
      </c>
    </row>
    <row r="72" ht="15">
      <c r="A72" s="4" t="s">
        <v>158</v>
      </c>
      <c r="B72" s="4">
        <v>1</v>
      </c>
      <c r="E72" s="4" t="s">
        <v>172</v>
      </c>
      <c r="F72" s="4">
        <v>1</v>
      </c>
    </row>
    <row r="73" ht="15">
      <c r="A73" s="4" t="s">
        <v>39</v>
      </c>
      <c r="B73" s="4">
        <v>1</v>
      </c>
      <c r="E73" s="4" t="s">
        <v>25</v>
      </c>
      <c r="F73" s="4">
        <v>3</v>
      </c>
    </row>
    <row r="74" ht="15">
      <c r="A74" s="4" t="s">
        <v>132</v>
      </c>
      <c r="B74" s="4">
        <v>63</v>
      </c>
      <c r="E74" s="4" t="s">
        <v>173</v>
      </c>
      <c r="F74" s="4">
        <v>1</v>
      </c>
    </row>
    <row r="75" ht="15">
      <c r="A75" s="4" t="s">
        <v>159</v>
      </c>
      <c r="B75" s="4">
        <v>1</v>
      </c>
      <c r="E75" s="4" t="s">
        <v>29</v>
      </c>
      <c r="F75" s="4">
        <v>2</v>
      </c>
    </row>
    <row r="76" ht="15">
      <c r="A76" s="4" t="s">
        <v>40</v>
      </c>
      <c r="B76" s="4">
        <v>1</v>
      </c>
      <c r="E76" s="4" t="s">
        <v>174</v>
      </c>
      <c r="F76" s="4">
        <v>1</v>
      </c>
    </row>
    <row r="77" ht="15">
      <c r="A77" s="4" t="s">
        <v>132</v>
      </c>
      <c r="B77" s="4">
        <v>63</v>
      </c>
      <c r="E77" s="4" t="s">
        <v>68</v>
      </c>
      <c r="F77" s="4">
        <v>1</v>
      </c>
    </row>
    <row r="78" ht="15">
      <c r="A78" s="4" t="s">
        <v>160</v>
      </c>
      <c r="B78" s="4">
        <v>1</v>
      </c>
      <c r="E78" s="4" t="s">
        <v>175</v>
      </c>
      <c r="F78" s="4">
        <v>1</v>
      </c>
    </row>
    <row r="79" ht="15">
      <c r="A79" s="4" t="s">
        <v>20</v>
      </c>
      <c r="B79" s="4">
        <v>6</v>
      </c>
      <c r="E79" s="4" t="s">
        <v>63</v>
      </c>
      <c r="F79" s="4">
        <v>1</v>
      </c>
    </row>
    <row r="80" ht="15">
      <c r="A80" s="4" t="s">
        <v>133</v>
      </c>
      <c r="B80" s="4">
        <v>21</v>
      </c>
      <c r="E80" s="4" t="s">
        <v>176</v>
      </c>
      <c r="F80" s="4">
        <v>1</v>
      </c>
    </row>
    <row r="81" ht="15">
      <c r="A81" s="4" t="s">
        <v>161</v>
      </c>
      <c r="B81" s="4">
        <v>1</v>
      </c>
      <c r="E81" s="4" t="s">
        <v>177</v>
      </c>
      <c r="F81" s="4">
        <v>2</v>
      </c>
    </row>
    <row r="82" ht="15">
      <c r="A82" s="4" t="s">
        <v>19</v>
      </c>
      <c r="B82" s="4">
        <v>6</v>
      </c>
      <c r="E82" s="4" t="s">
        <v>178</v>
      </c>
      <c r="F82" s="4">
        <v>1</v>
      </c>
    </row>
    <row r="83" ht="15">
      <c r="A83" s="4" t="s">
        <v>132</v>
      </c>
      <c r="B83" s="4">
        <v>63</v>
      </c>
      <c r="E83" s="4" t="s">
        <v>179</v>
      </c>
      <c r="F83" s="4">
        <v>1</v>
      </c>
    </row>
    <row r="84" ht="15">
      <c r="A84" s="4" t="s">
        <v>162</v>
      </c>
      <c r="B84" s="4">
        <v>1</v>
      </c>
      <c r="E84" s="4" t="s">
        <v>43</v>
      </c>
      <c r="F84" s="4">
        <v>1</v>
      </c>
    </row>
    <row r="85" ht="15">
      <c r="A85" s="4" t="s">
        <v>26</v>
      </c>
      <c r="B85" s="4">
        <v>2</v>
      </c>
      <c r="E85" s="4" t="s">
        <v>180</v>
      </c>
      <c r="F85" s="4">
        <v>1</v>
      </c>
    </row>
    <row r="86" ht="15">
      <c r="A86" s="4" t="s">
        <v>132</v>
      </c>
      <c r="B86" s="4">
        <v>63</v>
      </c>
      <c r="E86" s="4" t="s">
        <v>181</v>
      </c>
      <c r="F86" s="4">
        <v>1</v>
      </c>
    </row>
    <row r="87" ht="15">
      <c r="A87" s="4" t="s">
        <v>163</v>
      </c>
      <c r="B87" s="4">
        <v>1</v>
      </c>
      <c r="E87" s="4" t="s">
        <v>44</v>
      </c>
      <c r="F87" s="4">
        <v>1</v>
      </c>
    </row>
    <row r="88" ht="15">
      <c r="A88" s="4" t="s">
        <v>31</v>
      </c>
      <c r="B88" s="4">
        <v>2</v>
      </c>
      <c r="E88" s="4" t="s">
        <v>182</v>
      </c>
      <c r="F88" s="4">
        <v>1</v>
      </c>
    </row>
    <row r="89" ht="15">
      <c r="A89" s="4" t="s">
        <v>132</v>
      </c>
      <c r="B89" s="4">
        <v>63</v>
      </c>
      <c r="E89" s="4" t="s">
        <v>32</v>
      </c>
      <c r="F89" s="4">
        <v>2</v>
      </c>
    </row>
    <row r="90" ht="15">
      <c r="A90" s="4" t="s">
        <v>164</v>
      </c>
      <c r="B90" s="4">
        <v>1</v>
      </c>
      <c r="E90" s="4" t="s">
        <v>183</v>
      </c>
      <c r="F90" s="4">
        <v>1</v>
      </c>
    </row>
    <row r="91" ht="15">
      <c r="A91" s="4" t="s">
        <v>75</v>
      </c>
      <c r="B91" s="4">
        <v>1</v>
      </c>
      <c r="E91" s="4" t="s">
        <v>184</v>
      </c>
      <c r="F91" s="4">
        <v>3</v>
      </c>
    </row>
    <row r="92" ht="15">
      <c r="A92" s="4" t="s">
        <v>135</v>
      </c>
      <c r="B92" s="4">
        <v>7</v>
      </c>
      <c r="E92" s="4" t="s">
        <v>185</v>
      </c>
      <c r="F92" s="4">
        <v>1</v>
      </c>
    </row>
    <row r="93" ht="15">
      <c r="A93" s="4" t="s">
        <v>165</v>
      </c>
      <c r="B93" s="4">
        <v>1</v>
      </c>
      <c r="E93" s="4" t="s">
        <v>45</v>
      </c>
      <c r="F93" s="4">
        <v>1</v>
      </c>
    </row>
    <row r="94" ht="15">
      <c r="A94" s="4" t="s">
        <v>17</v>
      </c>
      <c r="B94" s="4">
        <v>8</v>
      </c>
      <c r="E94" s="4" t="s">
        <v>186</v>
      </c>
      <c r="F94" s="4">
        <v>1</v>
      </c>
    </row>
    <row r="95" ht="15">
      <c r="A95" s="4" t="s">
        <v>133</v>
      </c>
      <c r="B95" s="4">
        <v>21</v>
      </c>
      <c r="E95" s="4" t="s">
        <v>187</v>
      </c>
      <c r="F95" s="4">
        <v>1</v>
      </c>
    </row>
    <row r="96" ht="15">
      <c r="A96" s="4" t="s">
        <v>150</v>
      </c>
      <c r="B96" s="4">
        <v>2</v>
      </c>
      <c r="E96" s="4" t="s">
        <v>188</v>
      </c>
      <c r="F96" s="4">
        <v>1</v>
      </c>
    </row>
    <row r="97" ht="15">
      <c r="A97" s="4" t="s">
        <v>20</v>
      </c>
      <c r="B97" s="4">
        <v>6</v>
      </c>
      <c r="E97" s="4" t="s">
        <v>189</v>
      </c>
      <c r="F97" s="4">
        <v>1</v>
      </c>
    </row>
    <row r="98" ht="15">
      <c r="A98" s="4" t="s">
        <v>133</v>
      </c>
      <c r="B98" s="4">
        <v>21</v>
      </c>
      <c r="E98" s="4" t="s">
        <v>190</v>
      </c>
      <c r="F98" s="4">
        <v>1</v>
      </c>
    </row>
    <row r="99" ht="15">
      <c r="A99" s="4" t="s">
        <v>166</v>
      </c>
      <c r="B99" s="4">
        <v>1</v>
      </c>
      <c r="E99" s="4" t="s">
        <v>191</v>
      </c>
      <c r="F99" s="4">
        <v>1</v>
      </c>
    </row>
    <row r="100" ht="15">
      <c r="A100" s="4" t="s">
        <v>20</v>
      </c>
      <c r="B100" s="4">
        <v>6</v>
      </c>
      <c r="E100" s="4" t="s">
        <v>192</v>
      </c>
      <c r="F100" s="4">
        <v>1</v>
      </c>
    </row>
    <row r="101" ht="15">
      <c r="A101" s="4" t="s">
        <v>133</v>
      </c>
      <c r="B101" s="4">
        <v>21</v>
      </c>
      <c r="E101" s="4" t="s">
        <v>69</v>
      </c>
      <c r="F101" s="4">
        <v>1</v>
      </c>
    </row>
    <row r="102" ht="15">
      <c r="A102" s="4" t="s">
        <v>167</v>
      </c>
      <c r="B102" s="4">
        <v>1</v>
      </c>
      <c r="E102" s="4" t="s">
        <v>193</v>
      </c>
      <c r="F102" s="4">
        <v>1</v>
      </c>
    </row>
    <row r="103" ht="15">
      <c r="A103" s="4" t="s">
        <v>61</v>
      </c>
      <c r="B103" s="4">
        <v>1</v>
      </c>
      <c r="E103" s="4" t="s">
        <v>194</v>
      </c>
      <c r="F103" s="4">
        <v>1</v>
      </c>
    </row>
    <row r="104" ht="15">
      <c r="A104" s="4" t="s">
        <v>133</v>
      </c>
      <c r="B104" s="4">
        <v>21</v>
      </c>
      <c r="E104" s="4" t="s">
        <v>195</v>
      </c>
      <c r="F104" s="4">
        <v>1</v>
      </c>
    </row>
    <row r="105" ht="15">
      <c r="A105" s="4" t="s">
        <v>168</v>
      </c>
      <c r="B105" s="4">
        <v>1</v>
      </c>
      <c r="E105" s="4" t="s">
        <v>77</v>
      </c>
      <c r="F105" s="4">
        <v>1</v>
      </c>
    </row>
    <row r="106" ht="15">
      <c r="A106" s="4" t="s">
        <v>62</v>
      </c>
      <c r="B106" s="4">
        <v>1</v>
      </c>
      <c r="E106" s="4" t="s">
        <v>196</v>
      </c>
      <c r="F106" s="4">
        <v>1</v>
      </c>
    </row>
    <row r="107" ht="15">
      <c r="A107" s="4" t="s">
        <v>133</v>
      </c>
      <c r="B107" s="4">
        <v>21</v>
      </c>
      <c r="E107" s="4" t="s">
        <v>70</v>
      </c>
      <c r="F107" s="4">
        <v>1</v>
      </c>
    </row>
    <row r="108" ht="15">
      <c r="A108" s="4" t="s">
        <v>169</v>
      </c>
      <c r="B108" s="4">
        <v>1</v>
      </c>
      <c r="E108" s="4" t="s">
        <v>197</v>
      </c>
      <c r="F108" s="4">
        <v>1</v>
      </c>
    </row>
    <row r="109" ht="15">
      <c r="A109" s="4" t="s">
        <v>14</v>
      </c>
      <c r="B109" s="4">
        <v>9</v>
      </c>
      <c r="E109" s="4" t="s">
        <v>198</v>
      </c>
      <c r="F109" s="4">
        <v>1</v>
      </c>
    </row>
    <row r="110" ht="15">
      <c r="A110" s="4" t="s">
        <v>132</v>
      </c>
      <c r="B110" s="4">
        <v>63</v>
      </c>
      <c r="E110" s="4" t="s">
        <v>199</v>
      </c>
      <c r="F110" s="4">
        <v>1</v>
      </c>
    </row>
    <row r="111" ht="15">
      <c r="A111" s="4" t="s">
        <v>170</v>
      </c>
      <c r="B111" s="4">
        <v>1</v>
      </c>
      <c r="E111" s="4" t="s">
        <v>200</v>
      </c>
      <c r="F111" s="4">
        <v>1</v>
      </c>
    </row>
    <row r="112" ht="15">
      <c r="A112" s="4" t="s">
        <v>30</v>
      </c>
      <c r="B112" s="4">
        <v>2</v>
      </c>
      <c r="E112" s="4" t="s">
        <v>71</v>
      </c>
      <c r="F112" s="4">
        <v>1</v>
      </c>
    </row>
    <row r="113" ht="15">
      <c r="A113" s="4" t="s">
        <v>132</v>
      </c>
      <c r="B113" s="4">
        <v>63</v>
      </c>
      <c r="E113" s="4" t="s">
        <v>201</v>
      </c>
      <c r="F113" s="4">
        <v>1</v>
      </c>
    </row>
    <row r="114" ht="15">
      <c r="A114" s="4" t="s">
        <v>171</v>
      </c>
      <c r="B114" s="4">
        <v>1</v>
      </c>
      <c r="E114" s="4" t="s">
        <v>202</v>
      </c>
      <c r="F114" s="4">
        <v>1</v>
      </c>
    </row>
    <row r="115" ht="15">
      <c r="A115" s="4" t="s">
        <v>76</v>
      </c>
      <c r="B115" s="4">
        <v>1</v>
      </c>
      <c r="E115" s="4" t="s">
        <v>46</v>
      </c>
      <c r="F115" s="4">
        <v>1</v>
      </c>
    </row>
    <row r="116" ht="15">
      <c r="A116" s="4" t="s">
        <v>135</v>
      </c>
      <c r="B116" s="4">
        <v>7</v>
      </c>
      <c r="E116" s="4" t="s">
        <v>203</v>
      </c>
      <c r="F116" s="4">
        <v>1</v>
      </c>
    </row>
    <row r="117" ht="15">
      <c r="A117" s="4" t="s">
        <v>172</v>
      </c>
      <c r="B117" s="4">
        <v>1</v>
      </c>
      <c r="E117" s="4" t="s">
        <v>47</v>
      </c>
      <c r="F117" s="4">
        <v>1</v>
      </c>
    </row>
    <row r="118" ht="15">
      <c r="A118" s="4" t="s">
        <v>25</v>
      </c>
      <c r="B118" s="4">
        <v>3</v>
      </c>
      <c r="E118" s="4" t="s">
        <v>204</v>
      </c>
      <c r="F118" s="4">
        <v>1</v>
      </c>
    </row>
    <row r="119" ht="15">
      <c r="A119" s="4" t="s">
        <v>132</v>
      </c>
      <c r="B119" s="4">
        <v>63</v>
      </c>
      <c r="E119" s="4" t="s">
        <v>48</v>
      </c>
      <c r="F119" s="4">
        <v>1</v>
      </c>
    </row>
    <row r="120" ht="15">
      <c r="A120" s="4" t="s">
        <v>173</v>
      </c>
      <c r="B120" s="4">
        <v>1</v>
      </c>
      <c r="E120" s="4" t="s">
        <v>205</v>
      </c>
      <c r="F120" s="4">
        <v>1</v>
      </c>
    </row>
    <row r="121" ht="15">
      <c r="A121" s="4" t="s">
        <v>29</v>
      </c>
      <c r="B121" s="4">
        <v>2</v>
      </c>
      <c r="E121" s="4" t="s">
        <v>206</v>
      </c>
      <c r="F121" s="4">
        <v>1</v>
      </c>
    </row>
    <row r="122" ht="15">
      <c r="A122" s="4" t="s">
        <v>132</v>
      </c>
      <c r="B122" s="4">
        <v>63</v>
      </c>
      <c r="E122" s="4" t="s">
        <v>207</v>
      </c>
      <c r="F122" s="4">
        <v>1</v>
      </c>
    </row>
    <row r="123" ht="15">
      <c r="A123" s="4" t="s">
        <v>174</v>
      </c>
      <c r="B123" s="4">
        <v>1</v>
      </c>
      <c r="E123" s="4" t="s">
        <v>208</v>
      </c>
      <c r="F123" s="4">
        <v>1</v>
      </c>
    </row>
    <row r="124" ht="15">
      <c r="A124" s="4" t="s">
        <v>68</v>
      </c>
      <c r="B124" s="4">
        <v>1</v>
      </c>
      <c r="E124" s="4" t="s">
        <v>72</v>
      </c>
      <c r="F124" s="4">
        <v>1</v>
      </c>
    </row>
    <row r="125" ht="15">
      <c r="A125" s="4" t="s">
        <v>130</v>
      </c>
      <c r="B125" s="4">
        <v>9</v>
      </c>
      <c r="E125" s="4" t="s">
        <v>209</v>
      </c>
      <c r="F125" s="4">
        <v>1</v>
      </c>
    </row>
    <row r="126" ht="15">
      <c r="A126" s="4" t="s">
        <v>175</v>
      </c>
      <c r="B126" s="4">
        <v>1</v>
      </c>
      <c r="E126" s="4" t="s">
        <v>210</v>
      </c>
      <c r="F126" s="4">
        <v>1</v>
      </c>
    </row>
    <row r="127" ht="15">
      <c r="A127" s="4" t="s">
        <v>63</v>
      </c>
      <c r="B127" s="4">
        <v>1</v>
      </c>
      <c r="E127" s="4" t="s">
        <v>49</v>
      </c>
      <c r="F127" s="4">
        <v>1</v>
      </c>
    </row>
    <row r="128" ht="15">
      <c r="A128" s="4" t="s">
        <v>133</v>
      </c>
      <c r="B128" s="4">
        <v>21</v>
      </c>
      <c r="E128" s="4" t="s">
        <v>211</v>
      </c>
      <c r="F128" s="4">
        <v>1</v>
      </c>
    </row>
    <row r="129" ht="15">
      <c r="A129" s="4" t="s">
        <v>176</v>
      </c>
      <c r="B129" s="4">
        <v>1</v>
      </c>
      <c r="E129" s="4" t="s">
        <v>212</v>
      </c>
      <c r="F129" s="4">
        <v>1</v>
      </c>
    </row>
    <row r="130" ht="15">
      <c r="A130" s="4" t="s">
        <v>30</v>
      </c>
      <c r="B130" s="4">
        <v>2</v>
      </c>
      <c r="E130" s="4" t="s">
        <v>213</v>
      </c>
      <c r="F130" s="4">
        <v>1</v>
      </c>
    </row>
    <row r="131" ht="15">
      <c r="A131" s="4" t="s">
        <v>132</v>
      </c>
      <c r="B131" s="4">
        <v>63</v>
      </c>
      <c r="E131" s="4" t="s">
        <v>50</v>
      </c>
      <c r="F131" s="4">
        <v>1</v>
      </c>
    </row>
    <row r="132" ht="15">
      <c r="A132" s="4" t="s">
        <v>177</v>
      </c>
      <c r="B132" s="4">
        <v>2</v>
      </c>
      <c r="E132" s="4" t="s">
        <v>214</v>
      </c>
      <c r="F132" s="4">
        <v>1</v>
      </c>
    </row>
    <row r="133" ht="15">
      <c r="A133" s="4" t="s">
        <v>25</v>
      </c>
      <c r="B133" s="4">
        <v>3</v>
      </c>
      <c r="E133" s="4" t="s">
        <v>215</v>
      </c>
      <c r="F133" s="4">
        <v>1</v>
      </c>
    </row>
    <row r="134" ht="15">
      <c r="A134" s="4" t="s">
        <v>132</v>
      </c>
      <c r="B134" s="4">
        <v>63</v>
      </c>
      <c r="E134" s="4" t="s">
        <v>216</v>
      </c>
      <c r="F134" s="4">
        <v>1</v>
      </c>
    </row>
    <row r="135" ht="15">
      <c r="A135" s="4" t="s">
        <v>178</v>
      </c>
      <c r="B135" s="4">
        <v>1</v>
      </c>
      <c r="E135" s="4" t="s">
        <v>217</v>
      </c>
      <c r="F135" s="4">
        <v>1</v>
      </c>
    </row>
    <row r="136" ht="15">
      <c r="A136" s="4" t="s">
        <v>29</v>
      </c>
      <c r="B136" s="4">
        <v>2</v>
      </c>
      <c r="E136" s="4" t="s">
        <v>218</v>
      </c>
      <c r="F136" s="4">
        <v>1</v>
      </c>
    </row>
    <row r="137" ht="15">
      <c r="A137" s="4" t="s">
        <v>132</v>
      </c>
      <c r="B137" s="4">
        <v>63</v>
      </c>
      <c r="E137" s="4" t="s">
        <v>51</v>
      </c>
      <c r="F137" s="4">
        <v>1</v>
      </c>
    </row>
    <row r="138" ht="15">
      <c r="A138" s="4" t="s">
        <v>179</v>
      </c>
      <c r="B138" s="4">
        <v>1</v>
      </c>
      <c r="E138" s="4" t="s">
        <v>219</v>
      </c>
      <c r="F138" s="4">
        <v>1</v>
      </c>
    </row>
    <row r="139" ht="15">
      <c r="A139" s="4" t="s">
        <v>43</v>
      </c>
      <c r="B139" s="4">
        <v>1</v>
      </c>
      <c r="E139" s="4" t="s">
        <v>64</v>
      </c>
      <c r="F139" s="4">
        <v>1</v>
      </c>
    </row>
    <row r="140" ht="15">
      <c r="A140" s="4" t="s">
        <v>133</v>
      </c>
      <c r="B140" s="4">
        <v>21</v>
      </c>
      <c r="E140" s="4" t="s">
        <v>220</v>
      </c>
      <c r="F140" s="4">
        <v>1</v>
      </c>
    </row>
    <row r="141" ht="15">
      <c r="A141" s="4" t="s">
        <v>180</v>
      </c>
      <c r="B141" s="4">
        <v>1</v>
      </c>
      <c r="E141" s="4" t="s">
        <v>52</v>
      </c>
      <c r="F141" s="4">
        <v>1</v>
      </c>
    </row>
    <row r="142" ht="15">
      <c r="A142" s="4" t="s">
        <v>22</v>
      </c>
      <c r="B142" s="4">
        <v>5</v>
      </c>
      <c r="E142" s="4" t="s">
        <v>221</v>
      </c>
      <c r="F142" s="4">
        <v>1</v>
      </c>
    </row>
    <row r="143" ht="15">
      <c r="A143" s="4" t="s">
        <v>135</v>
      </c>
      <c r="B143" s="4">
        <v>7</v>
      </c>
      <c r="E143" s="4" t="s">
        <v>53</v>
      </c>
      <c r="F143" s="4">
        <v>1</v>
      </c>
    </row>
    <row r="144" ht="15">
      <c r="A144" s="4" t="s">
        <v>181</v>
      </c>
      <c r="B144" s="4">
        <v>1</v>
      </c>
      <c r="E144" s="4" t="s">
        <v>222</v>
      </c>
      <c r="F144" s="4">
        <v>1</v>
      </c>
    </row>
    <row r="145" ht="15">
      <c r="A145" s="4" t="s">
        <v>44</v>
      </c>
      <c r="B145" s="4">
        <v>1</v>
      </c>
      <c r="E145" s="4" t="s">
        <v>223</v>
      </c>
      <c r="F145" s="4">
        <v>1</v>
      </c>
    </row>
    <row r="146" ht="15">
      <c r="A146" s="4" t="s">
        <v>132</v>
      </c>
      <c r="B146" s="4">
        <v>63</v>
      </c>
      <c r="E146" s="4" t="s">
        <v>54</v>
      </c>
      <c r="F146" s="4">
        <v>1</v>
      </c>
    </row>
    <row r="147" ht="15">
      <c r="A147" s="4" t="s">
        <v>182</v>
      </c>
      <c r="B147" s="4">
        <v>1</v>
      </c>
      <c r="E147" s="4" t="s">
        <v>224</v>
      </c>
      <c r="F147" s="4">
        <v>1</v>
      </c>
    </row>
    <row r="148" ht="15">
      <c r="A148" s="4" t="s">
        <v>32</v>
      </c>
      <c r="B148" s="4">
        <v>2</v>
      </c>
      <c r="E148" s="4" t="s">
        <v>55</v>
      </c>
      <c r="F148" s="4">
        <v>1</v>
      </c>
    </row>
    <row r="149" ht="15">
      <c r="A149" s="4" t="s">
        <v>132</v>
      </c>
      <c r="B149" s="4">
        <v>63</v>
      </c>
      <c r="E149" s="4" t="s">
        <v>225</v>
      </c>
      <c r="F149" s="4">
        <v>1</v>
      </c>
    </row>
    <row r="150" ht="15">
      <c r="A150" s="4" t="s">
        <v>183</v>
      </c>
      <c r="B150" s="4">
        <v>1</v>
      </c>
      <c r="E150" s="4" t="s">
        <v>56</v>
      </c>
      <c r="F150" s="4">
        <v>1</v>
      </c>
    </row>
    <row r="151" ht="15">
      <c r="A151" s="4" t="s">
        <v>184</v>
      </c>
      <c r="B151" s="4">
        <v>3</v>
      </c>
      <c r="E151" s="4" t="s">
        <v>226</v>
      </c>
      <c r="F151" s="4">
        <v>1</v>
      </c>
    </row>
    <row r="152" ht="15">
      <c r="A152" s="4" t="s">
        <v>132</v>
      </c>
      <c r="B152" s="4">
        <v>63</v>
      </c>
      <c r="E152" s="4" t="s">
        <v>57</v>
      </c>
      <c r="F152" s="4">
        <v>1</v>
      </c>
    </row>
    <row r="153" ht="15">
      <c r="A153" s="4" t="s">
        <v>185</v>
      </c>
      <c r="B153" s="4">
        <v>1</v>
      </c>
      <c r="E153" s="4" t="s">
        <v>227</v>
      </c>
      <c r="F153" s="4">
        <v>1</v>
      </c>
    </row>
    <row r="154" ht="15">
      <c r="A154" s="4" t="s">
        <v>45</v>
      </c>
      <c r="B154" s="4">
        <v>1</v>
      </c>
      <c r="E154" s="4" t="s">
        <v>58</v>
      </c>
      <c r="F154" s="4">
        <v>1</v>
      </c>
    </row>
    <row r="155" ht="15">
      <c r="A155" s="4" t="s">
        <v>132</v>
      </c>
      <c r="B155" s="4">
        <v>63</v>
      </c>
      <c r="E155" s="4" t="s">
        <v>228</v>
      </c>
      <c r="F155" s="4">
        <v>1</v>
      </c>
    </row>
    <row r="156" ht="15">
      <c r="A156" s="4" t="s">
        <v>186</v>
      </c>
      <c r="B156" s="4">
        <v>1</v>
      </c>
      <c r="E156" s="4" t="s">
        <v>229</v>
      </c>
      <c r="F156" s="4">
        <v>1</v>
      </c>
    </row>
    <row r="157" ht="15">
      <c r="A157" s="4" t="s">
        <v>14</v>
      </c>
      <c r="B157" s="4">
        <v>9</v>
      </c>
      <c r="E157" s="4" t="s">
        <v>230</v>
      </c>
      <c r="F157" s="4">
        <v>1</v>
      </c>
    </row>
    <row r="158" ht="15">
      <c r="A158" s="4" t="s">
        <v>132</v>
      </c>
      <c r="B158" s="4">
        <v>63</v>
      </c>
      <c r="E158" s="4" t="s">
        <v>231</v>
      </c>
      <c r="F158" s="4">
        <v>1</v>
      </c>
    </row>
    <row r="159" ht="15">
      <c r="A159" s="4" t="s">
        <v>187</v>
      </c>
      <c r="B159" s="4">
        <v>1</v>
      </c>
      <c r="E159" s="4" t="s">
        <v>232</v>
      </c>
      <c r="F159" s="4">
        <v>1</v>
      </c>
    </row>
    <row r="160" ht="15">
      <c r="A160" s="4" t="s">
        <v>32</v>
      </c>
      <c r="B160" s="4">
        <v>2</v>
      </c>
      <c r="E160" s="4" t="s">
        <v>233</v>
      </c>
      <c r="F160" s="4">
        <v>1</v>
      </c>
    </row>
    <row r="161" ht="15">
      <c r="A161" s="4" t="s">
        <v>132</v>
      </c>
      <c r="B161" s="4">
        <v>63</v>
      </c>
      <c r="E161" s="4" t="s">
        <v>73</v>
      </c>
      <c r="F161" s="4">
        <v>1</v>
      </c>
    </row>
    <row r="162" ht="15">
      <c r="A162" s="4" t="s">
        <v>188</v>
      </c>
      <c r="B162" s="4">
        <v>1</v>
      </c>
      <c r="E162" s="4" t="s">
        <v>234</v>
      </c>
      <c r="F162" s="4">
        <v>1</v>
      </c>
    </row>
    <row r="163" ht="15">
      <c r="A163" s="4" t="s">
        <v>184</v>
      </c>
      <c r="B163" s="4">
        <v>3</v>
      </c>
    </row>
    <row r="164" ht="15">
      <c r="A164" s="4" t="s">
        <v>132</v>
      </c>
      <c r="B164" s="4">
        <v>63</v>
      </c>
    </row>
    <row r="165" ht="15">
      <c r="A165" s="4" t="s">
        <v>189</v>
      </c>
      <c r="B165" s="4">
        <v>1</v>
      </c>
    </row>
    <row r="166" ht="15">
      <c r="A166" s="4" t="s">
        <v>184</v>
      </c>
      <c r="B166" s="4">
        <v>3</v>
      </c>
    </row>
    <row r="167" ht="15">
      <c r="A167" s="4" t="s">
        <v>132</v>
      </c>
      <c r="B167" s="4">
        <v>63</v>
      </c>
    </row>
    <row r="168" ht="15">
      <c r="A168" s="4" t="s">
        <v>190</v>
      </c>
      <c r="B168" s="4">
        <v>1</v>
      </c>
    </row>
    <row r="169" ht="15">
      <c r="A169" s="4" t="s">
        <v>14</v>
      </c>
      <c r="B169" s="4">
        <v>9</v>
      </c>
    </row>
    <row r="170" ht="15">
      <c r="A170" s="4" t="s">
        <v>132</v>
      </c>
      <c r="B170" s="4">
        <v>63</v>
      </c>
    </row>
    <row r="171" ht="15">
      <c r="A171" s="4" t="s">
        <v>191</v>
      </c>
      <c r="B171" s="4">
        <v>1</v>
      </c>
    </row>
    <row r="172" ht="15">
      <c r="A172" s="4" t="s">
        <v>19</v>
      </c>
      <c r="B172" s="4">
        <v>6</v>
      </c>
    </row>
    <row r="173" ht="15">
      <c r="A173" s="4" t="s">
        <v>132</v>
      </c>
      <c r="B173" s="4">
        <v>63</v>
      </c>
    </row>
    <row r="174" ht="15">
      <c r="A174" s="4" t="s">
        <v>192</v>
      </c>
      <c r="B174" s="4">
        <v>1</v>
      </c>
    </row>
    <row r="175" ht="15">
      <c r="A175" s="4" t="s">
        <v>69</v>
      </c>
      <c r="B175" s="4">
        <v>1</v>
      </c>
    </row>
    <row r="176" ht="15">
      <c r="A176" s="4" t="s">
        <v>130</v>
      </c>
      <c r="B176" s="4">
        <v>9</v>
      </c>
    </row>
    <row r="177" ht="15">
      <c r="A177" s="4" t="s">
        <v>193</v>
      </c>
      <c r="B177" s="4">
        <v>1</v>
      </c>
    </row>
    <row r="178" ht="15">
      <c r="A178" s="4" t="s">
        <v>19</v>
      </c>
      <c r="B178" s="4">
        <v>6</v>
      </c>
    </row>
    <row r="179" ht="15">
      <c r="A179" s="4" t="s">
        <v>132</v>
      </c>
      <c r="B179" s="4">
        <v>63</v>
      </c>
    </row>
    <row r="180" ht="15">
      <c r="A180" s="4" t="s">
        <v>194</v>
      </c>
      <c r="B180" s="4">
        <v>1</v>
      </c>
    </row>
    <row r="181" ht="15">
      <c r="A181" s="4" t="s">
        <v>17</v>
      </c>
      <c r="B181" s="4">
        <v>8</v>
      </c>
    </row>
    <row r="182" ht="15">
      <c r="A182" s="4" t="s">
        <v>133</v>
      </c>
      <c r="B182" s="4">
        <v>21</v>
      </c>
    </row>
    <row r="183" ht="15">
      <c r="A183" s="4" t="s">
        <v>195</v>
      </c>
      <c r="B183" s="4">
        <v>1</v>
      </c>
    </row>
    <row r="184" ht="15">
      <c r="A184" s="4" t="s">
        <v>77</v>
      </c>
      <c r="B184" s="4">
        <v>1</v>
      </c>
    </row>
    <row r="185" ht="15">
      <c r="A185" s="4" t="s">
        <v>135</v>
      </c>
      <c r="B185" s="4">
        <v>7</v>
      </c>
    </row>
    <row r="186" ht="15">
      <c r="A186" s="4" t="s">
        <v>196</v>
      </c>
      <c r="B186" s="4">
        <v>1</v>
      </c>
    </row>
    <row r="187" ht="15">
      <c r="A187" s="4" t="s">
        <v>70</v>
      </c>
      <c r="B187" s="4">
        <v>1</v>
      </c>
    </row>
    <row r="188" ht="15">
      <c r="A188" s="4" t="s">
        <v>130</v>
      </c>
      <c r="B188" s="4">
        <v>9</v>
      </c>
    </row>
    <row r="189" ht="15">
      <c r="A189" s="4" t="s">
        <v>197</v>
      </c>
      <c r="B189" s="4">
        <v>1</v>
      </c>
    </row>
    <row r="190" ht="15">
      <c r="A190" s="4" t="s">
        <v>22</v>
      </c>
      <c r="B190" s="4">
        <v>5</v>
      </c>
    </row>
    <row r="191" ht="15">
      <c r="A191" s="4" t="s">
        <v>132</v>
      </c>
      <c r="B191" s="4">
        <v>63</v>
      </c>
    </row>
    <row r="192" ht="15">
      <c r="A192" s="4" t="s">
        <v>198</v>
      </c>
      <c r="B192" s="4">
        <v>1</v>
      </c>
    </row>
    <row r="193" ht="15">
      <c r="A193" s="4" t="s">
        <v>14</v>
      </c>
      <c r="B193" s="4">
        <v>9</v>
      </c>
    </row>
    <row r="194" ht="15">
      <c r="A194" s="4" t="s">
        <v>132</v>
      </c>
      <c r="B194" s="4">
        <v>63</v>
      </c>
    </row>
    <row r="195" ht="15">
      <c r="A195" s="4" t="s">
        <v>199</v>
      </c>
      <c r="B195" s="4">
        <v>1</v>
      </c>
    </row>
    <row r="196" ht="15">
      <c r="A196" s="4" t="s">
        <v>14</v>
      </c>
      <c r="B196" s="4">
        <v>9</v>
      </c>
    </row>
    <row r="197" ht="15">
      <c r="A197" s="4" t="s">
        <v>132</v>
      </c>
      <c r="B197" s="4">
        <v>63</v>
      </c>
    </row>
    <row r="198" ht="15">
      <c r="A198" s="4" t="s">
        <v>200</v>
      </c>
      <c r="B198" s="4">
        <v>1</v>
      </c>
    </row>
    <row r="199" ht="15">
      <c r="A199" s="4" t="s">
        <v>71</v>
      </c>
      <c r="B199" s="4">
        <v>1</v>
      </c>
    </row>
    <row r="200" ht="15">
      <c r="A200" s="4" t="s">
        <v>130</v>
      </c>
      <c r="B200" s="4">
        <v>9</v>
      </c>
    </row>
    <row r="201" ht="15">
      <c r="A201" s="4" t="s">
        <v>201</v>
      </c>
      <c r="B201" s="4">
        <v>1</v>
      </c>
    </row>
    <row r="202" ht="15">
      <c r="A202" s="4" t="s">
        <v>19</v>
      </c>
      <c r="B202" s="4">
        <v>6</v>
      </c>
    </row>
    <row r="203" ht="15">
      <c r="A203" s="4" t="s">
        <v>132</v>
      </c>
      <c r="B203" s="4">
        <v>63</v>
      </c>
    </row>
    <row r="204" ht="15">
      <c r="A204" s="4" t="s">
        <v>202</v>
      </c>
      <c r="B204" s="4">
        <v>1</v>
      </c>
    </row>
    <row r="205" ht="15">
      <c r="A205" s="4" t="s">
        <v>46</v>
      </c>
      <c r="B205" s="4">
        <v>1</v>
      </c>
    </row>
    <row r="206" ht="15">
      <c r="A206" s="4" t="s">
        <v>132</v>
      </c>
      <c r="B206" s="4">
        <v>63</v>
      </c>
    </row>
    <row r="207" ht="15">
      <c r="A207" s="4" t="s">
        <v>203</v>
      </c>
      <c r="B207" s="4">
        <v>1</v>
      </c>
    </row>
    <row r="208" ht="15">
      <c r="A208" s="4" t="s">
        <v>47</v>
      </c>
      <c r="B208" s="4">
        <v>1</v>
      </c>
    </row>
    <row r="209" ht="15">
      <c r="A209" s="4" t="s">
        <v>132</v>
      </c>
      <c r="B209" s="4">
        <v>63</v>
      </c>
    </row>
    <row r="210" ht="15">
      <c r="A210" s="4" t="s">
        <v>204</v>
      </c>
      <c r="B210" s="4">
        <v>1</v>
      </c>
    </row>
    <row r="211" ht="15">
      <c r="A211" s="4" t="s">
        <v>48</v>
      </c>
      <c r="B211" s="4">
        <v>1</v>
      </c>
    </row>
    <row r="212" ht="15">
      <c r="A212" s="4" t="s">
        <v>132</v>
      </c>
      <c r="B212" s="4">
        <v>63</v>
      </c>
    </row>
    <row r="213" ht="15">
      <c r="A213" s="4" t="s">
        <v>205</v>
      </c>
      <c r="B213" s="4">
        <v>1</v>
      </c>
    </row>
    <row r="214" ht="15">
      <c r="A214" s="4" t="s">
        <v>17</v>
      </c>
      <c r="B214" s="4">
        <v>8</v>
      </c>
    </row>
    <row r="215" ht="15">
      <c r="A215" s="4" t="s">
        <v>133</v>
      </c>
      <c r="B215" s="4">
        <v>21</v>
      </c>
    </row>
    <row r="216" ht="15">
      <c r="A216" s="4" t="s">
        <v>206</v>
      </c>
      <c r="B216" s="4">
        <v>1</v>
      </c>
    </row>
    <row r="217" ht="15">
      <c r="A217" s="4" t="s">
        <v>20</v>
      </c>
      <c r="B217" s="4">
        <v>6</v>
      </c>
    </row>
    <row r="218" ht="15">
      <c r="A218" s="4" t="s">
        <v>133</v>
      </c>
      <c r="B218" s="4">
        <v>21</v>
      </c>
    </row>
    <row r="219" ht="15">
      <c r="A219" s="4" t="s">
        <v>177</v>
      </c>
      <c r="B219" s="4">
        <v>2</v>
      </c>
    </row>
    <row r="220" ht="15">
      <c r="A220" s="4" t="s">
        <v>17</v>
      </c>
      <c r="B220" s="4">
        <v>8</v>
      </c>
    </row>
    <row r="221" ht="15">
      <c r="A221" s="4" t="s">
        <v>133</v>
      </c>
      <c r="B221" s="4">
        <v>21</v>
      </c>
    </row>
    <row r="222" ht="15">
      <c r="A222" s="4" t="s">
        <v>207</v>
      </c>
      <c r="B222" s="4">
        <v>1</v>
      </c>
    </row>
    <row r="223" ht="15">
      <c r="A223" s="4" t="s">
        <v>33</v>
      </c>
      <c r="B223" s="4">
        <v>2</v>
      </c>
    </row>
    <row r="224" ht="15">
      <c r="A224" s="4" t="s">
        <v>130</v>
      </c>
      <c r="B224" s="4">
        <v>9</v>
      </c>
    </row>
    <row r="225" ht="15">
      <c r="A225" s="4" t="s">
        <v>208</v>
      </c>
      <c r="B225" s="4">
        <v>1</v>
      </c>
    </row>
    <row r="226" ht="15">
      <c r="A226" s="4" t="s">
        <v>72</v>
      </c>
      <c r="B226" s="4">
        <v>1</v>
      </c>
    </row>
    <row r="227" ht="15">
      <c r="A227" s="4" t="s">
        <v>130</v>
      </c>
      <c r="B227" s="4">
        <v>9</v>
      </c>
    </row>
    <row r="228" ht="15">
      <c r="A228" s="4" t="s">
        <v>209</v>
      </c>
      <c r="B228" s="4">
        <v>1</v>
      </c>
    </row>
    <row r="229" ht="15">
      <c r="A229" s="4" t="s">
        <v>22</v>
      </c>
      <c r="B229" s="4">
        <v>5</v>
      </c>
    </row>
    <row r="230" ht="15">
      <c r="A230" s="4" t="s">
        <v>132</v>
      </c>
      <c r="B230" s="4">
        <v>63</v>
      </c>
    </row>
    <row r="231" ht="15">
      <c r="A231" s="4" t="s">
        <v>210</v>
      </c>
      <c r="B231" s="4">
        <v>1</v>
      </c>
    </row>
    <row r="232" ht="15">
      <c r="A232" s="4" t="s">
        <v>49</v>
      </c>
      <c r="B232" s="4">
        <v>1</v>
      </c>
    </row>
    <row r="233" ht="15">
      <c r="A233" s="4" t="s">
        <v>132</v>
      </c>
      <c r="B233" s="4">
        <v>63</v>
      </c>
    </row>
    <row r="234" ht="15">
      <c r="A234" s="4" t="s">
        <v>211</v>
      </c>
      <c r="B234" s="4">
        <v>1</v>
      </c>
    </row>
    <row r="235" ht="15">
      <c r="A235" s="4" t="s">
        <v>19</v>
      </c>
      <c r="B235" s="4">
        <v>6</v>
      </c>
    </row>
    <row r="236" ht="15">
      <c r="A236" s="4" t="s">
        <v>132</v>
      </c>
      <c r="B236" s="4">
        <v>63</v>
      </c>
    </row>
    <row r="237" ht="15">
      <c r="A237" s="4" t="s">
        <v>212</v>
      </c>
      <c r="B237" s="4">
        <v>1</v>
      </c>
    </row>
    <row r="238" ht="15">
      <c r="A238" s="4" t="s">
        <v>20</v>
      </c>
      <c r="B238" s="4">
        <v>6</v>
      </c>
    </row>
    <row r="239" ht="15">
      <c r="A239" s="4" t="s">
        <v>133</v>
      </c>
      <c r="B239" s="4">
        <v>21</v>
      </c>
    </row>
    <row r="240" ht="15">
      <c r="A240" s="4" t="s">
        <v>213</v>
      </c>
      <c r="B240" s="4">
        <v>1</v>
      </c>
    </row>
    <row r="241" ht="15">
      <c r="A241" s="4" t="s">
        <v>50</v>
      </c>
      <c r="B241" s="4">
        <v>1</v>
      </c>
    </row>
    <row r="242" ht="15">
      <c r="A242" s="4" t="s">
        <v>132</v>
      </c>
      <c r="B242" s="4">
        <v>63</v>
      </c>
    </row>
    <row r="243" ht="15">
      <c r="A243" s="4" t="s">
        <v>214</v>
      </c>
      <c r="B243" s="4">
        <v>1</v>
      </c>
    </row>
    <row r="244" ht="15">
      <c r="A244" s="4" t="s">
        <v>14</v>
      </c>
      <c r="B244" s="4">
        <v>9</v>
      </c>
    </row>
    <row r="245" ht="15">
      <c r="A245" s="4" t="s">
        <v>132</v>
      </c>
      <c r="B245" s="4">
        <v>63</v>
      </c>
    </row>
    <row r="246" ht="15">
      <c r="A246" s="4" t="s">
        <v>215</v>
      </c>
      <c r="B246" s="4">
        <v>1</v>
      </c>
    </row>
    <row r="247" ht="15">
      <c r="A247" s="4" t="s">
        <v>20</v>
      </c>
      <c r="B247" s="4">
        <v>6</v>
      </c>
    </row>
    <row r="248" ht="15">
      <c r="A248" s="4" t="s">
        <v>133</v>
      </c>
      <c r="B248" s="4">
        <v>21</v>
      </c>
    </row>
    <row r="249" ht="15">
      <c r="A249" s="4" t="s">
        <v>216</v>
      </c>
      <c r="B249" s="4">
        <v>1</v>
      </c>
    </row>
    <row r="250" ht="15">
      <c r="A250" s="4" t="s">
        <v>28</v>
      </c>
      <c r="B250" s="4">
        <v>2</v>
      </c>
    </row>
    <row r="251" ht="15">
      <c r="A251" s="4" t="s">
        <v>132</v>
      </c>
      <c r="B251" s="4">
        <v>63</v>
      </c>
    </row>
    <row r="252" ht="15">
      <c r="A252" s="4" t="s">
        <v>217</v>
      </c>
      <c r="B252" s="4">
        <v>1</v>
      </c>
    </row>
    <row r="253" ht="15">
      <c r="A253" s="4" t="s">
        <v>31</v>
      </c>
      <c r="B253" s="4">
        <v>2</v>
      </c>
    </row>
    <row r="254" ht="15">
      <c r="A254" s="4" t="s">
        <v>132</v>
      </c>
      <c r="B254" s="4">
        <v>63</v>
      </c>
    </row>
    <row r="255" ht="15">
      <c r="A255" s="4" t="s">
        <v>218</v>
      </c>
      <c r="B255" s="4">
        <v>1</v>
      </c>
    </row>
    <row r="256" ht="15">
      <c r="A256" s="4" t="s">
        <v>51</v>
      </c>
      <c r="B256" s="4">
        <v>1</v>
      </c>
    </row>
    <row r="257" ht="15">
      <c r="A257" s="4" t="s">
        <v>132</v>
      </c>
      <c r="B257" s="4">
        <v>63</v>
      </c>
    </row>
    <row r="258" ht="15">
      <c r="A258" s="4" t="s">
        <v>219</v>
      </c>
      <c r="B258" s="4">
        <v>1</v>
      </c>
    </row>
    <row r="259" ht="15">
      <c r="A259" s="4" t="s">
        <v>64</v>
      </c>
      <c r="B259" s="4">
        <v>1</v>
      </c>
    </row>
    <row r="260" ht="15">
      <c r="A260" s="4" t="s">
        <v>133</v>
      </c>
      <c r="B260" s="4">
        <v>21</v>
      </c>
    </row>
    <row r="261" ht="15">
      <c r="A261" s="4" t="s">
        <v>220</v>
      </c>
      <c r="B261" s="4">
        <v>1</v>
      </c>
    </row>
    <row r="262" ht="15">
      <c r="A262" s="4" t="s">
        <v>52</v>
      </c>
      <c r="B262" s="4">
        <v>1</v>
      </c>
    </row>
    <row r="263" ht="15">
      <c r="A263" s="4" t="s">
        <v>132</v>
      </c>
      <c r="B263" s="4">
        <v>63</v>
      </c>
    </row>
    <row r="264" ht="15">
      <c r="A264" s="4" t="s">
        <v>221</v>
      </c>
      <c r="B264" s="4">
        <v>1</v>
      </c>
    </row>
    <row r="265" ht="15">
      <c r="A265" s="4" t="s">
        <v>53</v>
      </c>
      <c r="B265" s="4">
        <v>1</v>
      </c>
    </row>
    <row r="266" ht="15">
      <c r="A266" s="4" t="s">
        <v>132</v>
      </c>
      <c r="B266" s="4">
        <v>63</v>
      </c>
    </row>
    <row r="267" ht="15">
      <c r="A267" s="4" t="s">
        <v>222</v>
      </c>
      <c r="B267" s="4">
        <v>1</v>
      </c>
    </row>
    <row r="268" ht="15">
      <c r="A268" s="4" t="s">
        <v>14</v>
      </c>
      <c r="B268" s="4">
        <v>9</v>
      </c>
    </row>
    <row r="269" ht="15">
      <c r="A269" s="4" t="s">
        <v>132</v>
      </c>
      <c r="B269" s="4">
        <v>63</v>
      </c>
    </row>
    <row r="270" ht="15">
      <c r="A270" s="4" t="s">
        <v>223</v>
      </c>
      <c r="B270" s="4">
        <v>1</v>
      </c>
    </row>
    <row r="271" ht="15">
      <c r="A271" s="4" t="s">
        <v>54</v>
      </c>
      <c r="B271" s="4">
        <v>1</v>
      </c>
    </row>
    <row r="272" ht="15">
      <c r="A272" s="4" t="s">
        <v>132</v>
      </c>
      <c r="B272" s="4">
        <v>63</v>
      </c>
    </row>
    <row r="273" ht="15">
      <c r="A273" s="4" t="s">
        <v>224</v>
      </c>
      <c r="B273" s="4">
        <v>1</v>
      </c>
    </row>
    <row r="274" ht="15">
      <c r="A274" s="4" t="s">
        <v>55</v>
      </c>
      <c r="B274" s="4">
        <v>1</v>
      </c>
    </row>
    <row r="275" ht="15">
      <c r="A275" s="4" t="s">
        <v>132</v>
      </c>
      <c r="B275" s="4">
        <v>63</v>
      </c>
    </row>
    <row r="276" ht="15">
      <c r="A276" s="4" t="s">
        <v>225</v>
      </c>
      <c r="B276" s="4">
        <v>1</v>
      </c>
    </row>
    <row r="277" ht="15">
      <c r="A277" s="4" t="s">
        <v>56</v>
      </c>
      <c r="B277" s="4">
        <v>1</v>
      </c>
    </row>
    <row r="278" ht="15">
      <c r="A278" s="4" t="s">
        <v>132</v>
      </c>
      <c r="B278" s="4">
        <v>63</v>
      </c>
    </row>
    <row r="279" ht="15">
      <c r="A279" s="4" t="s">
        <v>226</v>
      </c>
      <c r="B279" s="4">
        <v>1</v>
      </c>
    </row>
    <row r="280" ht="15">
      <c r="A280" s="4" t="s">
        <v>57</v>
      </c>
      <c r="B280" s="4">
        <v>1</v>
      </c>
    </row>
    <row r="281" ht="15">
      <c r="A281" s="4" t="s">
        <v>132</v>
      </c>
      <c r="B281" s="4">
        <v>63</v>
      </c>
    </row>
    <row r="282" ht="15">
      <c r="A282" s="4" t="s">
        <v>227</v>
      </c>
      <c r="B282" s="4">
        <v>1</v>
      </c>
    </row>
    <row r="283" ht="15">
      <c r="A283" s="4" t="s">
        <v>58</v>
      </c>
      <c r="B283" s="4">
        <v>1</v>
      </c>
    </row>
    <row r="284" ht="15">
      <c r="A284" s="4" t="s">
        <v>132</v>
      </c>
      <c r="B284" s="4">
        <v>63</v>
      </c>
    </row>
    <row r="285" ht="15">
      <c r="A285" s="4" t="s">
        <v>228</v>
      </c>
      <c r="B285" s="4">
        <v>1</v>
      </c>
    </row>
    <row r="286" ht="15">
      <c r="A286" s="4" t="s">
        <v>25</v>
      </c>
      <c r="B286" s="4">
        <v>3</v>
      </c>
    </row>
    <row r="287" ht="15">
      <c r="A287" s="4" t="s">
        <v>132</v>
      </c>
      <c r="B287" s="4">
        <v>63</v>
      </c>
    </row>
    <row r="288" ht="15">
      <c r="A288" s="4" t="s">
        <v>229</v>
      </c>
      <c r="B288" s="4">
        <v>1</v>
      </c>
    </row>
    <row r="289" ht="15">
      <c r="A289" s="4" t="s">
        <v>24</v>
      </c>
      <c r="B289" s="4">
        <v>3</v>
      </c>
    </row>
    <row r="290" ht="15">
      <c r="A290" s="4" t="s">
        <v>132</v>
      </c>
      <c r="B290" s="4">
        <v>63</v>
      </c>
    </row>
    <row r="291" ht="15">
      <c r="A291" s="4" t="s">
        <v>230</v>
      </c>
      <c r="B291" s="4">
        <v>1</v>
      </c>
    </row>
    <row r="292" ht="15">
      <c r="A292" s="4" t="s">
        <v>17</v>
      </c>
      <c r="B292" s="4">
        <v>8</v>
      </c>
    </row>
    <row r="293" ht="15">
      <c r="A293" s="4" t="s">
        <v>133</v>
      </c>
      <c r="B293" s="4">
        <v>21</v>
      </c>
    </row>
    <row r="294" ht="15">
      <c r="A294" s="4" t="s">
        <v>231</v>
      </c>
      <c r="B294" s="4">
        <v>1</v>
      </c>
    </row>
    <row r="295" ht="15">
      <c r="A295" s="4" t="s">
        <v>17</v>
      </c>
      <c r="B295" s="4">
        <v>8</v>
      </c>
    </row>
    <row r="296" ht="15">
      <c r="A296" s="4" t="s">
        <v>133</v>
      </c>
      <c r="B296" s="4">
        <v>21</v>
      </c>
    </row>
    <row r="297" ht="15">
      <c r="A297" s="4" t="s">
        <v>232</v>
      </c>
      <c r="B297" s="4">
        <v>1</v>
      </c>
    </row>
    <row r="298" ht="15">
      <c r="A298" s="4" t="s">
        <v>19</v>
      </c>
      <c r="B298" s="4">
        <v>6</v>
      </c>
    </row>
    <row r="299" ht="15">
      <c r="A299" s="4" t="s">
        <v>132</v>
      </c>
      <c r="B299" s="4">
        <v>63</v>
      </c>
    </row>
    <row r="300" ht="15">
      <c r="A300" s="4" t="s">
        <v>233</v>
      </c>
      <c r="B300" s="4">
        <v>1</v>
      </c>
    </row>
    <row r="301" ht="15">
      <c r="A301" s="4" t="s">
        <v>73</v>
      </c>
      <c r="B301" s="4">
        <v>1</v>
      </c>
    </row>
    <row r="302" ht="15">
      <c r="A302" s="4" t="s">
        <v>130</v>
      </c>
      <c r="B302" s="4">
        <v>9</v>
      </c>
    </row>
    <row r="303" ht="15">
      <c r="A303" s="4" t="s">
        <v>234</v>
      </c>
      <c r="B303" s="4">
        <v>1</v>
      </c>
    </row>
  </sheetData>
  <autoFilter ref="E1:F162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E8" sqref="E8"/>
    </sheetView>
  </sheetViews>
  <sheetFormatPr defaultRowHeight="14.25"/>
  <cols>
    <col min="1" max="1" width="31.375" bestFit="1" customWidth="1"/>
    <col min="6" max="6" width="17.625" customWidth="1"/>
    <col min="7" max="7" width="8.5" bestFit="1" customWidth="1"/>
    <col min="8" max="8" width="11.125" bestFit="1" customWidth="1"/>
  </cols>
  <sheetData>
    <row r="1">
      <c r="A1" t="s">
        <v>128</v>
      </c>
      <c r="B1" t="s">
        <v>129</v>
      </c>
    </row>
    <row r="2" ht="15">
      <c r="A2" s="4" t="s">
        <v>14</v>
      </c>
      <c r="B2" s="4">
        <v>9</v>
      </c>
      <c r="F2" s="5" t="s">
        <v>128</v>
      </c>
      <c r="G2" s="6" t="s">
        <v>129</v>
      </c>
      <c r="H2" s="7" t="s">
        <v>235</v>
      </c>
    </row>
    <row r="3" ht="15">
      <c r="A3" s="4" t="s">
        <v>17</v>
      </c>
      <c r="B3" s="4">
        <v>8</v>
      </c>
      <c r="F3" s="8" t="s">
        <v>236</v>
      </c>
      <c r="G3" s="9">
        <v>63</v>
      </c>
      <c r="H3" s="10">
        <f>Table2[[#This Row], [Count]]*100/Table2[[#Totals], [Count]]</f>
        <v>62.376237623762378</v>
      </c>
      <c r="R3">
        <v>62</v>
      </c>
    </row>
    <row r="4" ht="15">
      <c r="A4" s="4" t="s">
        <v>20</v>
      </c>
      <c r="B4" s="4">
        <v>6</v>
      </c>
      <c r="F4" s="8" t="s">
        <v>237</v>
      </c>
      <c r="G4" s="9">
        <v>21</v>
      </c>
      <c r="H4" s="10">
        <f>Table2[[#This Row], [Count]]*100/Table2[[#Totals], [Count]]</f>
        <v>20.792079207920793</v>
      </c>
      <c r="R4">
        <v>21</v>
      </c>
    </row>
    <row r="5" ht="15">
      <c r="A5" s="4" t="s">
        <v>19</v>
      </c>
      <c r="B5" s="4">
        <v>6</v>
      </c>
      <c r="F5" s="8" t="s">
        <v>238</v>
      </c>
      <c r="G5" s="9">
        <v>1</v>
      </c>
      <c r="H5" s="10">
        <f>Table2[[#This Row], [Count]]*100/Table2[[#Totals], [Count]]</f>
        <v>0.99009900990099009</v>
      </c>
      <c r="R5">
        <v>1</v>
      </c>
    </row>
    <row r="6" ht="15">
      <c r="A6" s="4" t="s">
        <v>22</v>
      </c>
      <c r="B6" s="4">
        <v>5</v>
      </c>
      <c r="F6" s="8" t="s">
        <v>239</v>
      </c>
      <c r="G6" s="9">
        <v>9</v>
      </c>
      <c r="H6" s="10">
        <f>Table2[[#This Row], [Count]]*100/Table2[[#Totals], [Count]]</f>
        <v>8.9108910891089117</v>
      </c>
      <c r="R6">
        <v>9</v>
      </c>
    </row>
    <row r="7" ht="15">
      <c r="A7" s="4" t="s">
        <v>24</v>
      </c>
      <c r="B7" s="4">
        <v>3</v>
      </c>
      <c r="F7" s="8" t="s">
        <v>240</v>
      </c>
      <c r="G7" s="9">
        <v>7</v>
      </c>
      <c r="H7" s="10">
        <f>Table2[[#This Row], [Count]]*100/Table2[[#Totals], [Count]]</f>
        <v>6.9306930693069306</v>
      </c>
      <c r="R7">
        <v>7</v>
      </c>
    </row>
    <row r="8" ht="15">
      <c r="A8" s="4" t="s">
        <v>184</v>
      </c>
      <c r="B8" s="4">
        <v>3</v>
      </c>
      <c r="F8" s="11" t="s">
        <v>12</v>
      </c>
      <c r="G8" s="12">
        <f>SUM(Table2[Count])</f>
        <v>101</v>
      </c>
      <c r="H8" s="13">
        <f>SUM(Table2[%])</f>
        <v>100</v>
      </c>
    </row>
    <row r="9" ht="15">
      <c r="A9" s="4" t="s">
        <v>25</v>
      </c>
      <c r="B9" s="4">
        <v>3</v>
      </c>
    </row>
    <row r="10" ht="15">
      <c r="A10" s="4" t="s">
        <v>21</v>
      </c>
      <c r="B10" s="4">
        <v>2</v>
      </c>
    </row>
    <row r="11" ht="15">
      <c r="A11" s="4" t="s">
        <v>27</v>
      </c>
      <c r="B11" s="4">
        <v>2</v>
      </c>
    </row>
    <row r="12" ht="15">
      <c r="A12" s="4" t="s">
        <v>28</v>
      </c>
      <c r="B12" s="4">
        <v>2</v>
      </c>
    </row>
    <row r="13" ht="15">
      <c r="A13" s="4" t="s">
        <v>31</v>
      </c>
      <c r="B13" s="4">
        <v>2</v>
      </c>
    </row>
    <row r="14" ht="15">
      <c r="A14" s="4" t="s">
        <v>32</v>
      </c>
      <c r="B14" s="4">
        <v>2</v>
      </c>
    </row>
    <row r="15" ht="15">
      <c r="A15" s="4" t="s">
        <v>26</v>
      </c>
      <c r="B15" s="4">
        <v>2</v>
      </c>
    </row>
    <row r="16" ht="15">
      <c r="A16" s="4" t="s">
        <v>29</v>
      </c>
      <c r="B16" s="4">
        <v>2</v>
      </c>
    </row>
    <row r="17" ht="15">
      <c r="A17" s="4" t="s">
        <v>30</v>
      </c>
      <c r="B17" s="4">
        <v>2</v>
      </c>
    </row>
    <row r="18" ht="15">
      <c r="A18" s="4" t="s">
        <v>33</v>
      </c>
      <c r="B18" s="4">
        <v>2</v>
      </c>
    </row>
    <row r="19" ht="15">
      <c r="A19" s="4" t="s">
        <v>68</v>
      </c>
      <c r="B19" s="4">
        <v>1</v>
      </c>
    </row>
    <row r="20" ht="15">
      <c r="A20" s="4" t="s">
        <v>67</v>
      </c>
      <c r="B20" s="4">
        <v>1</v>
      </c>
    </row>
    <row r="21" ht="15">
      <c r="A21" s="4" t="s">
        <v>47</v>
      </c>
      <c r="B21" s="4">
        <v>1</v>
      </c>
    </row>
    <row r="22" ht="15">
      <c r="A22" s="4" t="s">
        <v>75</v>
      </c>
      <c r="B22" s="4">
        <v>1</v>
      </c>
    </row>
    <row r="23" ht="15">
      <c r="A23" s="4" t="s">
        <v>58</v>
      </c>
      <c r="B23" s="4">
        <v>1</v>
      </c>
    </row>
    <row r="24" ht="15">
      <c r="A24" s="4" t="s">
        <v>37</v>
      </c>
      <c r="B24" s="4">
        <v>1</v>
      </c>
    </row>
    <row r="25" ht="15">
      <c r="A25" s="4" t="s">
        <v>55</v>
      </c>
      <c r="B25" s="4">
        <v>1</v>
      </c>
    </row>
    <row r="26" ht="15">
      <c r="A26" s="4" t="s">
        <v>52</v>
      </c>
      <c r="B26" s="4">
        <v>1</v>
      </c>
    </row>
    <row r="27" ht="15">
      <c r="A27" s="4" t="s">
        <v>62</v>
      </c>
      <c r="B27" s="4">
        <v>1</v>
      </c>
    </row>
    <row r="28" ht="15">
      <c r="A28" s="4" t="s">
        <v>44</v>
      </c>
      <c r="B28" s="4">
        <v>1</v>
      </c>
    </row>
    <row r="29" ht="15">
      <c r="A29" s="4" t="s">
        <v>57</v>
      </c>
      <c r="B29" s="4">
        <v>1</v>
      </c>
    </row>
    <row r="30" ht="15">
      <c r="A30" s="4" t="s">
        <v>43</v>
      </c>
      <c r="B30" s="4">
        <v>1</v>
      </c>
    </row>
    <row r="31" ht="15">
      <c r="A31" s="4" t="s">
        <v>51</v>
      </c>
      <c r="B31" s="4">
        <v>1</v>
      </c>
    </row>
    <row r="32" ht="15">
      <c r="A32" s="4" t="s">
        <v>54</v>
      </c>
      <c r="B32" s="4">
        <v>1</v>
      </c>
    </row>
    <row r="33" ht="15">
      <c r="A33" s="4" t="s">
        <v>56</v>
      </c>
      <c r="B33" s="4">
        <v>1</v>
      </c>
    </row>
    <row r="34" ht="15">
      <c r="A34" s="4" t="s">
        <v>71</v>
      </c>
      <c r="B34" s="4">
        <v>1</v>
      </c>
    </row>
    <row r="35" ht="15">
      <c r="A35" s="4" t="s">
        <v>64</v>
      </c>
      <c r="B35" s="4">
        <v>1</v>
      </c>
    </row>
    <row r="36" ht="15">
      <c r="A36" s="4" t="s">
        <v>76</v>
      </c>
      <c r="B36" s="4">
        <v>1</v>
      </c>
    </row>
    <row r="37" ht="15">
      <c r="A37" s="4" t="s">
        <v>53</v>
      </c>
      <c r="B37" s="4">
        <v>1</v>
      </c>
    </row>
    <row r="38" ht="15">
      <c r="A38" s="4" t="s">
        <v>65</v>
      </c>
      <c r="B38" s="4">
        <v>1</v>
      </c>
    </row>
    <row r="39" ht="15">
      <c r="A39" s="4" t="s">
        <v>49</v>
      </c>
      <c r="B39" s="4">
        <v>1</v>
      </c>
    </row>
    <row r="40" ht="15">
      <c r="A40" s="4" t="s">
        <v>63</v>
      </c>
      <c r="B40" s="4">
        <v>1</v>
      </c>
    </row>
    <row r="41" ht="15">
      <c r="A41" s="4" t="s">
        <v>73</v>
      </c>
      <c r="B41" s="4">
        <v>1</v>
      </c>
    </row>
    <row r="42" ht="15">
      <c r="A42" s="4" t="s">
        <v>72</v>
      </c>
      <c r="B42" s="4">
        <v>1</v>
      </c>
    </row>
    <row r="43" ht="15">
      <c r="A43" s="4" t="s">
        <v>39</v>
      </c>
      <c r="B43" s="4">
        <v>1</v>
      </c>
    </row>
    <row r="44" ht="15">
      <c r="A44" s="4" t="s">
        <v>69</v>
      </c>
      <c r="B44" s="4">
        <v>1</v>
      </c>
    </row>
    <row r="45" ht="15">
      <c r="A45" s="4" t="s">
        <v>61</v>
      </c>
      <c r="B45" s="4">
        <v>1</v>
      </c>
    </row>
    <row r="46" ht="15">
      <c r="A46" s="4" t="s">
        <v>40</v>
      </c>
      <c r="B46" s="4">
        <v>1</v>
      </c>
    </row>
    <row r="47" ht="15">
      <c r="A47" s="4" t="s">
        <v>74</v>
      </c>
      <c r="B47" s="4">
        <v>1</v>
      </c>
    </row>
    <row r="48" ht="15">
      <c r="A48" s="4" t="s">
        <v>38</v>
      </c>
      <c r="B48" s="4">
        <v>1</v>
      </c>
    </row>
    <row r="49" ht="15">
      <c r="A49" s="4" t="s">
        <v>36</v>
      </c>
      <c r="B49" s="4">
        <v>1</v>
      </c>
    </row>
    <row r="50" ht="15">
      <c r="A50" s="4" t="s">
        <v>60</v>
      </c>
      <c r="B50" s="4">
        <v>1</v>
      </c>
    </row>
    <row r="51" ht="15">
      <c r="A51" s="4" t="s">
        <v>59</v>
      </c>
      <c r="B51" s="4">
        <v>1</v>
      </c>
    </row>
    <row r="52" ht="15">
      <c r="A52" s="4" t="s">
        <v>50</v>
      </c>
      <c r="B52" s="4">
        <v>1</v>
      </c>
    </row>
    <row r="53" ht="15">
      <c r="A53" s="4" t="s">
        <v>45</v>
      </c>
      <c r="B53" s="4">
        <v>1</v>
      </c>
    </row>
    <row r="54" ht="15">
      <c r="A54" s="4" t="s">
        <v>35</v>
      </c>
      <c r="B54" s="4">
        <v>1</v>
      </c>
    </row>
    <row r="55" ht="15">
      <c r="A55" s="4" t="s">
        <v>46</v>
      </c>
      <c r="B55" s="4">
        <v>1</v>
      </c>
    </row>
    <row r="56" ht="15">
      <c r="A56" s="4" t="s">
        <v>48</v>
      </c>
      <c r="B56" s="4">
        <v>1</v>
      </c>
    </row>
    <row r="57" ht="15">
      <c r="A57" s="4" t="s">
        <v>70</v>
      </c>
      <c r="B57" s="4">
        <v>1</v>
      </c>
    </row>
    <row r="58" ht="15">
      <c r="A58" s="4" t="s">
        <v>77</v>
      </c>
      <c r="B58" s="4">
        <v>1</v>
      </c>
    </row>
    <row r="59" ht="15">
      <c r="A59" s="4"/>
      <c r="B59" s="4"/>
    </row>
    <row r="60" ht="15">
      <c r="A60" s="4"/>
      <c r="B60" s="4"/>
    </row>
    <row r="61" ht="15">
      <c r="A61" s="4"/>
      <c r="B61" s="4"/>
    </row>
    <row r="62" ht="15">
      <c r="A62" s="4"/>
      <c r="B62" s="4"/>
    </row>
    <row r="63" ht="15">
      <c r="A63" s="4"/>
      <c r="B63" s="4"/>
    </row>
  </sheetData>
  <drawing r:id="rId1"/>
  <tableParts count="2">
    <tablePart r:id="rId2"/>
    <tablePart r:id="rId3"/>
  </tableParts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I8" sqref="I8"/>
    </sheetView>
  </sheetViews>
  <sheetFormatPr defaultRowHeight="14.25"/>
  <cols>
    <col min="1" max="1" width="18.75" bestFit="1" customWidth="1"/>
    <col min="2" max="2" width="10.375" hidden="1" customWidth="1"/>
    <col min="5" max="5" width="7.625" customWidth="1"/>
    <col min="7" max="7" width="10.875" bestFit="1" customWidth="1"/>
    <col min="8" max="8" width="10.125" bestFit="1" customWidth="1"/>
    <col min="9" max="9" width="9.875" bestFit="1" customWidth="1"/>
  </cols>
  <sheetData>
    <row r="1">
      <c r="C1" t="s">
        <v>13</v>
      </c>
      <c r="E1" t="s">
        <v>241</v>
      </c>
    </row>
    <row r="2" ht="15">
      <c r="A2" s="3" t="s">
        <v>0</v>
      </c>
      <c r="B2" s="3" t="s">
        <v>13</v>
      </c>
      <c r="C2" s="14" t="s">
        <v>242</v>
      </c>
      <c r="D2" s="14" t="s">
        <v>243</v>
      </c>
      <c r="E2" s="14" t="s">
        <v>242</v>
      </c>
      <c r="F2" s="14" t="s">
        <v>243</v>
      </c>
      <c r="G2" s="15" t="s">
        <v>244</v>
      </c>
      <c r="H2" s="14" t="s">
        <v>245</v>
      </c>
      <c r="I2" s="14" t="s">
        <v>246</v>
      </c>
      <c r="K2" t="s">
        <v>247</v>
      </c>
    </row>
    <row r="3" ht="15">
      <c r="A3" s="1" t="s">
        <v>248</v>
      </c>
      <c r="B3" s="3"/>
      <c r="C3" s="16">
        <v>22</v>
      </c>
      <c r="D3" s="16">
        <v>7</v>
      </c>
      <c r="E3" s="16">
        <v>0</v>
      </c>
      <c r="F3" s="16">
        <v>0</v>
      </c>
      <c r="G3" s="17">
        <f>C3+E3</f>
        <v>22</v>
      </c>
      <c r="H3" s="17">
        <f>D3+F3</f>
        <v>7</v>
      </c>
      <c r="I3" s="17">
        <f>G3+H3</f>
        <v>29</v>
      </c>
      <c r="K3"/>
    </row>
    <row r="4">
      <c r="A4" s="18" t="s">
        <v>249</v>
      </c>
      <c r="B4" s="18"/>
      <c r="C4" s="16">
        <v>9</v>
      </c>
      <c r="D4" s="16">
        <v>0</v>
      </c>
      <c r="E4" s="16">
        <v>0</v>
      </c>
      <c r="F4" s="16">
        <v>0</v>
      </c>
      <c r="G4" s="17">
        <f>C4+E4</f>
        <v>9</v>
      </c>
      <c r="H4" s="17">
        <f>D4+F4</f>
        <v>0</v>
      </c>
      <c r="I4" s="17">
        <f>G4+H4</f>
        <v>9</v>
      </c>
    </row>
    <row r="5">
      <c r="A5" s="18" t="s">
        <v>250</v>
      </c>
      <c r="B5" s="18"/>
      <c r="C5" s="16">
        <v>8</v>
      </c>
      <c r="D5" s="16">
        <v>4</v>
      </c>
      <c r="E5" s="16">
        <v>0</v>
      </c>
      <c r="F5" s="16">
        <v>0</v>
      </c>
      <c r="G5" s="17">
        <f>C5+E5</f>
        <v>8</v>
      </c>
      <c r="H5" s="17">
        <f>D5+F5</f>
        <v>4</v>
      </c>
      <c r="I5" s="17">
        <f>G5+H5</f>
        <v>12</v>
      </c>
    </row>
    <row r="6">
      <c r="A6" s="18" t="s">
        <v>251</v>
      </c>
      <c r="B6" s="18"/>
      <c r="C6" s="16">
        <v>6</v>
      </c>
      <c r="D6" s="16">
        <v>9</v>
      </c>
      <c r="E6" s="16">
        <v>0</v>
      </c>
      <c r="F6" s="16">
        <v>0</v>
      </c>
      <c r="G6" s="17">
        <f>C6+E6</f>
        <v>6</v>
      </c>
      <c r="H6" s="17">
        <f>D6+F6</f>
        <v>9</v>
      </c>
      <c r="I6" s="17">
        <f>G6+H6</f>
        <v>15</v>
      </c>
    </row>
    <row r="7">
      <c r="A7" s="18" t="s">
        <v>252</v>
      </c>
      <c r="B7" s="18"/>
      <c r="C7" s="16">
        <v>6</v>
      </c>
      <c r="D7" s="16">
        <v>0</v>
      </c>
      <c r="E7" s="16">
        <v>0</v>
      </c>
      <c r="F7" s="16">
        <v>0</v>
      </c>
      <c r="G7" s="17">
        <f>C7+E7</f>
        <v>6</v>
      </c>
      <c r="H7" s="17">
        <f>D7+F7</f>
        <v>0</v>
      </c>
      <c r="I7" s="17">
        <f>G7+H7</f>
        <v>6</v>
      </c>
    </row>
    <row r="8">
      <c r="A8" s="18" t="s">
        <v>253</v>
      </c>
      <c r="B8" s="18"/>
      <c r="C8" s="16">
        <v>5</v>
      </c>
      <c r="D8" s="16">
        <v>7</v>
      </c>
      <c r="E8" s="16">
        <v>0</v>
      </c>
      <c r="F8" s="16">
        <v>0</v>
      </c>
      <c r="G8" s="17">
        <f>C8+E8</f>
        <v>5</v>
      </c>
      <c r="H8" s="17">
        <f>D8+F8</f>
        <v>7</v>
      </c>
      <c r="I8" s="17">
        <f>G8+H8</f>
        <v>12</v>
      </c>
    </row>
    <row r="9">
      <c r="A9" s="18" t="s">
        <v>254</v>
      </c>
      <c r="B9" s="18"/>
      <c r="C9" s="16">
        <v>5</v>
      </c>
      <c r="D9" s="16">
        <v>2</v>
      </c>
      <c r="E9" s="16">
        <v>0</v>
      </c>
      <c r="F9" s="16">
        <v>0</v>
      </c>
      <c r="G9" s="17">
        <f>C9+E9</f>
        <v>5</v>
      </c>
      <c r="H9" s="17">
        <f>D9+F9</f>
        <v>2</v>
      </c>
      <c r="I9" s="17">
        <f>G9+H9</f>
        <v>7</v>
      </c>
    </row>
    <row r="10">
      <c r="A10" s="18" t="s">
        <v>255</v>
      </c>
      <c r="B10" s="18"/>
      <c r="C10" s="16">
        <v>5</v>
      </c>
      <c r="D10" s="16">
        <v>1</v>
      </c>
      <c r="E10" s="16">
        <v>0</v>
      </c>
      <c r="F10" s="16">
        <v>0</v>
      </c>
      <c r="G10" s="17">
        <f>C10+E10</f>
        <v>5</v>
      </c>
      <c r="H10" s="17">
        <f>D10+F10</f>
        <v>1</v>
      </c>
      <c r="I10" s="17">
        <f>G10+H10</f>
        <v>6</v>
      </c>
    </row>
    <row r="11">
      <c r="A11" s="18" t="s">
        <v>98</v>
      </c>
      <c r="B11" s="18"/>
      <c r="C11" s="16">
        <v>0</v>
      </c>
      <c r="D11" s="16">
        <v>0</v>
      </c>
      <c r="E11" s="16">
        <v>5</v>
      </c>
      <c r="F11" s="16">
        <v>1</v>
      </c>
      <c r="G11" s="17">
        <f>C11+E11</f>
        <v>5</v>
      </c>
      <c r="H11" s="17">
        <f>D11+F11</f>
        <v>1</v>
      </c>
      <c r="I11" s="17">
        <f>G11+H11</f>
        <v>6</v>
      </c>
    </row>
    <row r="12">
      <c r="A12" s="18" t="s">
        <v>256</v>
      </c>
      <c r="B12" s="18"/>
      <c r="C12" s="16">
        <v>4</v>
      </c>
      <c r="D12" s="16">
        <v>3</v>
      </c>
      <c r="E12" s="16">
        <v>0</v>
      </c>
      <c r="F12" s="16">
        <v>0</v>
      </c>
      <c r="G12" s="17">
        <f>C12+E12</f>
        <v>4</v>
      </c>
      <c r="H12" s="17">
        <f>D12+F12</f>
        <v>3</v>
      </c>
      <c r="I12" s="17">
        <f>G12+H12</f>
        <v>7</v>
      </c>
    </row>
    <row r="13">
      <c r="A13" s="18" t="s">
        <v>257</v>
      </c>
      <c r="B13" s="18"/>
      <c r="C13" s="16">
        <v>1</v>
      </c>
      <c r="D13" s="16">
        <v>1</v>
      </c>
      <c r="E13" s="16">
        <v>2</v>
      </c>
      <c r="F13" s="16">
        <v>0</v>
      </c>
      <c r="G13" s="17">
        <f>C13+E13</f>
        <v>3</v>
      </c>
      <c r="H13" s="17">
        <f>D13+F13</f>
        <v>1</v>
      </c>
      <c r="I13" s="17">
        <f>G13+H13</f>
        <v>4</v>
      </c>
    </row>
    <row r="14">
      <c r="A14" s="18" t="s">
        <v>258</v>
      </c>
      <c r="B14" s="18"/>
      <c r="C14" s="16">
        <v>3</v>
      </c>
      <c r="D14" s="16">
        <v>0</v>
      </c>
      <c r="E14" s="16">
        <v>0</v>
      </c>
      <c r="F14" s="16">
        <v>0</v>
      </c>
      <c r="G14" s="17">
        <f>C14+E14</f>
        <v>3</v>
      </c>
      <c r="H14" s="17">
        <f>D14+F14</f>
        <v>0</v>
      </c>
      <c r="I14" s="17">
        <f>G14+H14</f>
        <v>3</v>
      </c>
    </row>
    <row r="15">
      <c r="A15" s="18" t="s">
        <v>259</v>
      </c>
      <c r="B15" s="18"/>
      <c r="C15" s="16">
        <v>2</v>
      </c>
      <c r="D15" s="16">
        <v>0</v>
      </c>
      <c r="E15" s="16">
        <v>1</v>
      </c>
      <c r="F15" s="16">
        <v>0</v>
      </c>
      <c r="G15" s="17">
        <f>C15+E15</f>
        <v>3</v>
      </c>
      <c r="H15" s="17">
        <f>D15+F15</f>
        <v>0</v>
      </c>
      <c r="I15" s="17">
        <f>G15+H15</f>
        <v>3</v>
      </c>
    </row>
    <row r="16">
      <c r="A16" s="18" t="s">
        <v>260</v>
      </c>
      <c r="B16" s="18"/>
      <c r="C16" s="16">
        <v>3</v>
      </c>
      <c r="D16" s="16">
        <v>0</v>
      </c>
      <c r="E16" s="16">
        <v>0</v>
      </c>
      <c r="F16" s="16">
        <v>0</v>
      </c>
      <c r="G16" s="17">
        <f>C16+E16</f>
        <v>3</v>
      </c>
      <c r="H16" s="17">
        <f>D16+F16</f>
        <v>0</v>
      </c>
      <c r="I16" s="17">
        <f>G16+H16</f>
        <v>3</v>
      </c>
    </row>
    <row r="17">
      <c r="A17" s="18" t="s">
        <v>261</v>
      </c>
      <c r="B17" s="18"/>
      <c r="C17" s="16">
        <v>3</v>
      </c>
      <c r="D17" s="16">
        <v>0</v>
      </c>
      <c r="E17" s="16">
        <v>0</v>
      </c>
      <c r="F17" s="16">
        <v>0</v>
      </c>
      <c r="G17" s="17">
        <f>C17+E17</f>
        <v>3</v>
      </c>
      <c r="H17" s="17">
        <f>D17+F17</f>
        <v>0</v>
      </c>
      <c r="I17" s="17">
        <f>G17+H17</f>
        <v>3</v>
      </c>
    </row>
    <row r="18">
      <c r="A18" s="18" t="s">
        <v>262</v>
      </c>
      <c r="B18" s="18"/>
      <c r="C18" s="16">
        <v>2</v>
      </c>
      <c r="D18" s="16">
        <v>4</v>
      </c>
      <c r="E18" s="16">
        <v>0</v>
      </c>
      <c r="F18" s="16">
        <v>0</v>
      </c>
      <c r="G18" s="17">
        <f>C18+E18</f>
        <v>2</v>
      </c>
      <c r="H18" s="17">
        <f>D18+F18</f>
        <v>4</v>
      </c>
      <c r="I18" s="17">
        <f>G18+H18</f>
        <v>6</v>
      </c>
    </row>
    <row r="19">
      <c r="A19" s="18" t="s">
        <v>263</v>
      </c>
      <c r="B19" s="18" t="s">
        <v>264</v>
      </c>
      <c r="C19" s="16">
        <v>2</v>
      </c>
      <c r="D19" s="16">
        <v>0</v>
      </c>
      <c r="E19" s="16">
        <v>0</v>
      </c>
      <c r="F19" s="16">
        <v>0</v>
      </c>
      <c r="G19" s="17">
        <f>C19+E19</f>
        <v>2</v>
      </c>
      <c r="H19" s="17">
        <f>D19+F19</f>
        <v>0</v>
      </c>
      <c r="I19" s="17">
        <f>G19+H19</f>
        <v>2</v>
      </c>
    </row>
    <row r="20">
      <c r="A20" s="18" t="s">
        <v>265</v>
      </c>
      <c r="B20" s="18"/>
      <c r="C20" s="16">
        <v>2</v>
      </c>
      <c r="D20" s="16">
        <v>0</v>
      </c>
      <c r="E20" s="16">
        <v>0</v>
      </c>
      <c r="F20" s="16">
        <v>0</v>
      </c>
      <c r="G20" s="17">
        <f>C20+E20</f>
        <v>2</v>
      </c>
      <c r="H20" s="17">
        <f>D20+F20</f>
        <v>0</v>
      </c>
      <c r="I20" s="17">
        <f>G20+H20</f>
        <v>2</v>
      </c>
    </row>
    <row r="21">
      <c r="A21" s="18" t="s">
        <v>266</v>
      </c>
      <c r="B21" s="18"/>
      <c r="C21" s="16">
        <v>2</v>
      </c>
      <c r="D21" s="16">
        <v>0</v>
      </c>
      <c r="E21" s="16">
        <v>0</v>
      </c>
      <c r="F21" s="16">
        <v>0</v>
      </c>
      <c r="G21" s="17">
        <f>C21+E21</f>
        <v>2</v>
      </c>
      <c r="H21" s="17">
        <f>D21+F21</f>
        <v>0</v>
      </c>
      <c r="I21" s="17">
        <f>G21+H21</f>
        <v>2</v>
      </c>
    </row>
    <row r="22">
      <c r="A22" s="18" t="s">
        <v>267</v>
      </c>
      <c r="B22" s="18"/>
      <c r="C22" s="16">
        <v>2</v>
      </c>
      <c r="D22" s="16">
        <v>0</v>
      </c>
      <c r="E22" s="16">
        <v>0</v>
      </c>
      <c r="F22" s="16">
        <v>0</v>
      </c>
      <c r="G22" s="17">
        <f>C22+E22</f>
        <v>2</v>
      </c>
      <c r="H22" s="17">
        <f>D22+F22</f>
        <v>0</v>
      </c>
      <c r="I22" s="17">
        <f>G22+H22</f>
        <v>2</v>
      </c>
    </row>
    <row r="23">
      <c r="A23" s="18" t="s">
        <v>268</v>
      </c>
      <c r="B23" s="18"/>
      <c r="C23" s="16">
        <v>1</v>
      </c>
      <c r="D23" s="16">
        <v>1</v>
      </c>
      <c r="E23" s="16">
        <v>0</v>
      </c>
      <c r="F23" s="16">
        <v>0</v>
      </c>
      <c r="G23" s="17">
        <f>C23+E23</f>
        <v>1</v>
      </c>
      <c r="H23" s="17">
        <f>D23+F23</f>
        <v>1</v>
      </c>
      <c r="I23" s="17">
        <f>G23+H23</f>
        <v>2</v>
      </c>
    </row>
    <row r="24">
      <c r="A24" s="18" t="s">
        <v>269</v>
      </c>
      <c r="B24" s="18"/>
      <c r="C24" s="16">
        <v>1</v>
      </c>
      <c r="D24" s="16">
        <v>1</v>
      </c>
      <c r="E24" s="16">
        <v>0</v>
      </c>
      <c r="F24" s="16">
        <v>0</v>
      </c>
      <c r="G24" s="17">
        <f>C24+E24</f>
        <v>1</v>
      </c>
      <c r="H24" s="17">
        <f>D24+F24</f>
        <v>1</v>
      </c>
      <c r="I24" s="17">
        <f>G24+H24</f>
        <v>2</v>
      </c>
    </row>
    <row r="25">
      <c r="A25" s="18" t="s">
        <v>270</v>
      </c>
      <c r="B25" s="18"/>
      <c r="C25" s="16">
        <v>1</v>
      </c>
      <c r="D25" s="16">
        <v>1</v>
      </c>
      <c r="E25" s="16">
        <v>0</v>
      </c>
      <c r="F25" s="16">
        <v>0</v>
      </c>
      <c r="G25" s="17">
        <f>C25+E25</f>
        <v>1</v>
      </c>
      <c r="H25" s="17">
        <f>D25+F25</f>
        <v>1</v>
      </c>
      <c r="I25" s="17">
        <f>G25+H25</f>
        <v>2</v>
      </c>
    </row>
    <row r="26">
      <c r="A26" s="18" t="s">
        <v>271</v>
      </c>
      <c r="B26" s="18"/>
      <c r="C26" s="16">
        <v>1</v>
      </c>
      <c r="D26" s="16">
        <v>1</v>
      </c>
      <c r="E26" s="16">
        <v>0</v>
      </c>
      <c r="F26" s="16">
        <v>0</v>
      </c>
      <c r="G26" s="17">
        <f>C26+E26</f>
        <v>1</v>
      </c>
      <c r="H26" s="17">
        <f>D26+F26</f>
        <v>1</v>
      </c>
      <c r="I26" s="17">
        <f>G26+H26</f>
        <v>2</v>
      </c>
    </row>
    <row r="27">
      <c r="A27" s="18" t="s">
        <v>272</v>
      </c>
      <c r="B27" s="18"/>
      <c r="C27" s="16">
        <v>1</v>
      </c>
      <c r="D27" s="16">
        <v>1</v>
      </c>
      <c r="E27" s="16">
        <v>0</v>
      </c>
      <c r="F27" s="16">
        <v>0</v>
      </c>
      <c r="G27" s="17">
        <f>C27+E27</f>
        <v>1</v>
      </c>
      <c r="H27" s="17">
        <f>D27+F27</f>
        <v>1</v>
      </c>
      <c r="I27" s="17">
        <f>G27+H27</f>
        <v>2</v>
      </c>
    </row>
    <row r="28" ht="15">
      <c r="A28" s="1" t="s">
        <v>77</v>
      </c>
      <c r="B28" s="18"/>
      <c r="C28" s="16">
        <v>0</v>
      </c>
      <c r="D28" s="16">
        <v>0</v>
      </c>
      <c r="E28" s="16">
        <v>1</v>
      </c>
      <c r="F28" s="16">
        <v>1</v>
      </c>
      <c r="G28" s="17">
        <f>C28+E28</f>
        <v>1</v>
      </c>
      <c r="H28" s="17">
        <f>D28+F28</f>
        <v>1</v>
      </c>
      <c r="I28" s="17">
        <f>G28+H28</f>
        <v>2</v>
      </c>
    </row>
    <row r="29">
      <c r="A29" s="18" t="s">
        <v>273</v>
      </c>
      <c r="B29" s="18"/>
      <c r="C29" s="16">
        <v>1</v>
      </c>
      <c r="D29" s="16">
        <v>0</v>
      </c>
      <c r="E29" s="16">
        <v>0</v>
      </c>
      <c r="F29" s="16">
        <v>0</v>
      </c>
      <c r="G29" s="17">
        <f>C29+E29</f>
        <v>1</v>
      </c>
      <c r="H29" s="17">
        <f>D29+F29</f>
        <v>0</v>
      </c>
      <c r="I29" s="17">
        <f>G29+H29</f>
        <v>1</v>
      </c>
    </row>
    <row r="30">
      <c r="A30" s="18" t="s">
        <v>274</v>
      </c>
      <c r="B30" s="18"/>
      <c r="C30" s="16">
        <v>1</v>
      </c>
      <c r="D30" s="16">
        <v>0</v>
      </c>
      <c r="E30" s="16">
        <v>0</v>
      </c>
      <c r="F30" s="16">
        <v>0</v>
      </c>
      <c r="G30" s="17">
        <f>C30+E30</f>
        <v>1</v>
      </c>
      <c r="H30" s="17">
        <f>D30+F30</f>
        <v>0</v>
      </c>
      <c r="I30" s="17">
        <f>G30+H30</f>
        <v>1</v>
      </c>
    </row>
    <row r="31">
      <c r="A31" s="18" t="s">
        <v>275</v>
      </c>
      <c r="B31" s="18"/>
      <c r="C31" s="16">
        <v>1</v>
      </c>
      <c r="D31" s="16">
        <v>0</v>
      </c>
      <c r="E31" s="16">
        <v>0</v>
      </c>
      <c r="F31" s="16">
        <v>0</v>
      </c>
      <c r="G31" s="17">
        <f>C31+E31</f>
        <v>1</v>
      </c>
      <c r="H31" s="17">
        <f>D31+F31</f>
        <v>0</v>
      </c>
      <c r="I31" s="17">
        <f>G31+H31</f>
        <v>1</v>
      </c>
    </row>
    <row r="32">
      <c r="A32" s="18" t="s">
        <v>276</v>
      </c>
      <c r="B32" s="18"/>
      <c r="C32" s="16">
        <v>1</v>
      </c>
      <c r="D32" s="16">
        <v>0</v>
      </c>
      <c r="E32" s="16">
        <v>0</v>
      </c>
      <c r="F32" s="16">
        <v>0</v>
      </c>
      <c r="G32" s="17">
        <f>C32+E32</f>
        <v>1</v>
      </c>
      <c r="H32" s="17">
        <f>D32+F32</f>
        <v>0</v>
      </c>
      <c r="I32" s="17">
        <f>G32+H32</f>
        <v>1</v>
      </c>
    </row>
    <row r="33">
      <c r="A33" s="18" t="s">
        <v>277</v>
      </c>
      <c r="B33" s="18"/>
      <c r="C33" s="16">
        <v>1</v>
      </c>
      <c r="D33" s="16">
        <v>0</v>
      </c>
      <c r="E33" s="16">
        <v>0</v>
      </c>
      <c r="F33" s="16">
        <v>0</v>
      </c>
      <c r="G33" s="17">
        <f>C33+E33</f>
        <v>1</v>
      </c>
      <c r="H33" s="17">
        <f>D33+F33</f>
        <v>0</v>
      </c>
      <c r="I33" s="17">
        <f>G33+H33</f>
        <v>1</v>
      </c>
    </row>
    <row r="34">
      <c r="A34" s="18" t="s">
        <v>278</v>
      </c>
      <c r="B34" s="18"/>
      <c r="C34" s="16">
        <v>1</v>
      </c>
      <c r="D34" s="16">
        <v>0</v>
      </c>
      <c r="E34" s="16">
        <v>0</v>
      </c>
      <c r="F34" s="16">
        <v>0</v>
      </c>
      <c r="G34" s="17">
        <f>C34+E34</f>
        <v>1</v>
      </c>
      <c r="H34" s="17">
        <f>D34+F34</f>
        <v>0</v>
      </c>
      <c r="I34" s="17">
        <f>G34+H34</f>
        <v>1</v>
      </c>
    </row>
    <row r="35">
      <c r="A35" s="18" t="s">
        <v>279</v>
      </c>
      <c r="B35" s="18"/>
      <c r="C35" s="16">
        <v>1</v>
      </c>
      <c r="D35" s="16">
        <v>0</v>
      </c>
      <c r="E35" s="16">
        <v>0</v>
      </c>
      <c r="F35" s="16">
        <v>0</v>
      </c>
      <c r="G35" s="17">
        <f>C35+E35</f>
        <v>1</v>
      </c>
      <c r="H35" s="17">
        <f>D35+F35</f>
        <v>0</v>
      </c>
      <c r="I35" s="17">
        <f>G35+H35</f>
        <v>1</v>
      </c>
    </row>
    <row r="36">
      <c r="A36" s="18" t="s">
        <v>280</v>
      </c>
      <c r="B36" s="18"/>
      <c r="C36" s="16">
        <v>1</v>
      </c>
      <c r="D36" s="16">
        <v>0</v>
      </c>
      <c r="E36" s="16">
        <v>0</v>
      </c>
      <c r="F36" s="16">
        <v>0</v>
      </c>
      <c r="G36" s="17">
        <f>C36+E36</f>
        <v>1</v>
      </c>
      <c r="H36" s="17">
        <f>D36+F36</f>
        <v>0</v>
      </c>
      <c r="I36" s="17">
        <f>G36+H36</f>
        <v>1</v>
      </c>
    </row>
    <row r="37">
      <c r="A37" s="18" t="s">
        <v>115</v>
      </c>
      <c r="B37" s="18"/>
      <c r="C37" s="16">
        <v>1</v>
      </c>
      <c r="D37" s="16">
        <v>0</v>
      </c>
      <c r="E37" s="16">
        <v>0</v>
      </c>
      <c r="F37" s="16">
        <v>0</v>
      </c>
      <c r="G37" s="17">
        <f>C37+E37</f>
        <v>1</v>
      </c>
      <c r="H37" s="17">
        <f>D37+F37</f>
        <v>0</v>
      </c>
      <c r="I37" s="17">
        <f>G37+H37</f>
        <v>1</v>
      </c>
    </row>
    <row r="38">
      <c r="A38" s="18" t="s">
        <v>281</v>
      </c>
      <c r="B38" s="18"/>
      <c r="C38" s="16">
        <v>1</v>
      </c>
      <c r="D38" s="16">
        <v>0</v>
      </c>
      <c r="E38" s="16">
        <v>0</v>
      </c>
      <c r="F38" s="16">
        <v>0</v>
      </c>
      <c r="G38" s="17">
        <f>C38+E38</f>
        <v>1</v>
      </c>
      <c r="H38" s="17">
        <f>D38+F38</f>
        <v>0</v>
      </c>
      <c r="I38" s="17">
        <f>G38+H38</f>
        <v>1</v>
      </c>
    </row>
    <row r="39">
      <c r="A39" s="18" t="s">
        <v>282</v>
      </c>
      <c r="B39" s="18"/>
      <c r="C39" s="16">
        <v>1</v>
      </c>
      <c r="D39" s="16">
        <v>0</v>
      </c>
      <c r="E39" s="16">
        <v>0</v>
      </c>
      <c r="F39" s="16">
        <v>0</v>
      </c>
      <c r="G39" s="17">
        <f>C39+E39</f>
        <v>1</v>
      </c>
      <c r="H39" s="17">
        <f>D39+F39</f>
        <v>0</v>
      </c>
      <c r="I39" s="17">
        <f>G39+H39</f>
        <v>1</v>
      </c>
    </row>
    <row r="40">
      <c r="A40" s="18" t="s">
        <v>283</v>
      </c>
      <c r="B40" s="18"/>
      <c r="C40" s="16">
        <v>1</v>
      </c>
      <c r="D40" s="16">
        <v>0</v>
      </c>
      <c r="E40" s="16">
        <v>0</v>
      </c>
      <c r="F40" s="16">
        <v>0</v>
      </c>
      <c r="G40" s="17">
        <f>C40+E40</f>
        <v>1</v>
      </c>
      <c r="H40" s="17">
        <f>D40+F40</f>
        <v>0</v>
      </c>
      <c r="I40" s="17">
        <f>G40+H40</f>
        <v>1</v>
      </c>
    </row>
    <row r="41">
      <c r="A41" s="18" t="s">
        <v>284</v>
      </c>
      <c r="B41" s="18"/>
      <c r="C41" s="16">
        <v>0</v>
      </c>
      <c r="D41" s="16">
        <v>0</v>
      </c>
      <c r="E41" s="16">
        <v>1</v>
      </c>
      <c r="F41" s="16">
        <v>0</v>
      </c>
      <c r="G41" s="17">
        <f>C41+E41</f>
        <v>1</v>
      </c>
      <c r="H41" s="17">
        <f>D41+F41</f>
        <v>0</v>
      </c>
      <c r="I41" s="17">
        <f>G41+H41</f>
        <v>1</v>
      </c>
    </row>
    <row r="42">
      <c r="A42" s="18" t="s">
        <v>285</v>
      </c>
      <c r="B42" s="18"/>
      <c r="C42" s="16">
        <v>0</v>
      </c>
      <c r="D42" s="16">
        <v>0</v>
      </c>
      <c r="E42" s="16">
        <v>1</v>
      </c>
      <c r="F42" s="16">
        <v>0</v>
      </c>
      <c r="G42" s="17">
        <f>C42+E42</f>
        <v>1</v>
      </c>
      <c r="H42" s="17">
        <f>D42+F42</f>
        <v>0</v>
      </c>
      <c r="I42" s="17">
        <f>G42+H42</f>
        <v>1</v>
      </c>
    </row>
    <row r="43">
      <c r="A43" s="18" t="s">
        <v>286</v>
      </c>
      <c r="B43" s="18"/>
      <c r="C43" s="16">
        <v>0</v>
      </c>
      <c r="D43" s="16">
        <v>0</v>
      </c>
      <c r="E43" s="16">
        <v>1</v>
      </c>
      <c r="F43" s="16">
        <v>0</v>
      </c>
      <c r="G43" s="17">
        <f>C43+E43</f>
        <v>1</v>
      </c>
      <c r="H43" s="17">
        <f>D43+F43</f>
        <v>0</v>
      </c>
      <c r="I43" s="17">
        <f>G43+H43</f>
        <v>1</v>
      </c>
    </row>
    <row r="44">
      <c r="A44" s="18" t="s">
        <v>287</v>
      </c>
      <c r="B44" s="18"/>
      <c r="C44" s="16">
        <v>0</v>
      </c>
      <c r="D44" s="16">
        <v>1</v>
      </c>
      <c r="E44" s="16">
        <v>0</v>
      </c>
      <c r="F44" s="16">
        <v>0</v>
      </c>
      <c r="G44" s="17">
        <f>C44+E44</f>
        <v>0</v>
      </c>
      <c r="H44" s="17">
        <f>D44+F44</f>
        <v>1</v>
      </c>
      <c r="I44" s="17">
        <f>G44+H44</f>
        <v>1</v>
      </c>
    </row>
    <row r="45">
      <c r="A45" s="18" t="s">
        <v>288</v>
      </c>
      <c r="B45" s="18"/>
      <c r="C45" s="16">
        <v>0</v>
      </c>
      <c r="D45" s="16">
        <v>1</v>
      </c>
      <c r="E45" s="16">
        <v>0</v>
      </c>
      <c r="F45" s="16">
        <v>0</v>
      </c>
      <c r="G45" s="17">
        <f>C45+E45</f>
        <v>0</v>
      </c>
      <c r="H45" s="17">
        <f>D45+F45</f>
        <v>1</v>
      </c>
      <c r="I45" s="17">
        <f>G45+H45</f>
        <v>1</v>
      </c>
    </row>
    <row r="46">
      <c r="A46" s="18" t="s">
        <v>289</v>
      </c>
      <c r="B46" s="18"/>
      <c r="C46" s="16">
        <v>0</v>
      </c>
      <c r="D46" s="16">
        <v>1</v>
      </c>
      <c r="E46" s="16">
        <v>0</v>
      </c>
      <c r="F46" s="16">
        <v>0</v>
      </c>
      <c r="G46" s="17">
        <f>C46+E46</f>
        <v>0</v>
      </c>
      <c r="H46" s="17">
        <f>D46+F46</f>
        <v>1</v>
      </c>
      <c r="I46" s="17">
        <f>G46+H46</f>
        <v>1</v>
      </c>
    </row>
    <row r="47">
      <c r="A47" s="18" t="s">
        <v>290</v>
      </c>
      <c r="B47" s="18"/>
      <c r="C47" s="16">
        <v>0</v>
      </c>
      <c r="D47" s="16">
        <v>1</v>
      </c>
      <c r="E47" s="16">
        <v>0</v>
      </c>
      <c r="F47" s="16">
        <v>0</v>
      </c>
      <c r="G47" s="17">
        <f>C47+E47</f>
        <v>0</v>
      </c>
      <c r="H47" s="17">
        <f>D47+F47</f>
        <v>1</v>
      </c>
      <c r="I47" s="17">
        <f>G47+H47</f>
        <v>1</v>
      </c>
    </row>
    <row r="48">
      <c r="A48" s="18" t="s">
        <v>291</v>
      </c>
      <c r="B48" s="18"/>
      <c r="C48" s="16">
        <v>0</v>
      </c>
      <c r="D48" s="16">
        <v>1</v>
      </c>
      <c r="E48" s="16">
        <v>0</v>
      </c>
      <c r="F48" s="16">
        <v>0</v>
      </c>
      <c r="G48" s="17">
        <f>C48+E48</f>
        <v>0</v>
      </c>
      <c r="H48" s="17">
        <f>D48+F48</f>
        <v>1</v>
      </c>
      <c r="I48" s="17">
        <f>G48+H48</f>
        <v>1</v>
      </c>
    </row>
    <row r="49">
      <c r="A49" s="18" t="s">
        <v>292</v>
      </c>
      <c r="B49" s="18"/>
      <c r="C49" s="16">
        <v>0</v>
      </c>
      <c r="D49" s="16">
        <v>1</v>
      </c>
      <c r="E49" s="16">
        <v>0</v>
      </c>
      <c r="F49" s="16">
        <v>0</v>
      </c>
      <c r="G49" s="17">
        <f>C49+E49</f>
        <v>0</v>
      </c>
      <c r="H49" s="17">
        <f>D49+F49</f>
        <v>1</v>
      </c>
      <c r="I49" s="17">
        <f>G49+H49</f>
        <v>1</v>
      </c>
    </row>
    <row r="50">
      <c r="A50" s="18" t="s">
        <v>293</v>
      </c>
      <c r="B50" s="18"/>
      <c r="C50" s="16">
        <v>0</v>
      </c>
      <c r="D50" s="16">
        <v>0</v>
      </c>
      <c r="E50" s="16">
        <v>0</v>
      </c>
      <c r="F50" s="16">
        <v>1</v>
      </c>
      <c r="G50" s="17">
        <f>C50+E50</f>
        <v>0</v>
      </c>
      <c r="H50" s="17">
        <f>D50+F50</f>
        <v>1</v>
      </c>
      <c r="I50" s="17">
        <f>G50+H50</f>
        <v>1</v>
      </c>
    </row>
    <row r="51">
      <c r="A51" s="18" t="s">
        <v>294</v>
      </c>
      <c r="B51" s="18"/>
      <c r="C51" s="16">
        <v>0</v>
      </c>
      <c r="D51" s="16">
        <v>0</v>
      </c>
      <c r="E51" s="16">
        <v>0</v>
      </c>
      <c r="F51" s="16">
        <v>1</v>
      </c>
      <c r="G51" s="17">
        <f>C51+E51</f>
        <v>0</v>
      </c>
      <c r="H51" s="17">
        <f>D51+F51</f>
        <v>1</v>
      </c>
      <c r="I51" s="17">
        <f>G51+H51</f>
        <v>1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25"/>
  <cols>
    <col min="1" max="1" width="28.375" bestFit="1" customWidth="1"/>
  </cols>
  <sheetData>
    <row r="1" ht="15">
      <c r="A1" s="4" t="s">
        <v>78</v>
      </c>
    </row>
    <row r="2" ht="15">
      <c r="A2" s="4" t="s">
        <v>295</v>
      </c>
    </row>
    <row r="3" ht="15">
      <c r="A3" s="4" t="s">
        <v>296</v>
      </c>
    </row>
    <row r="4" ht="15">
      <c r="A4" s="4" t="s">
        <v>27</v>
      </c>
    </row>
    <row r="5" ht="15">
      <c r="A5" s="4" t="s">
        <v>295</v>
      </c>
    </row>
    <row r="6" ht="15">
      <c r="A6" s="4" t="s">
        <v>297</v>
      </c>
    </row>
    <row r="7" ht="15">
      <c r="A7" s="4" t="s">
        <v>67</v>
      </c>
    </row>
    <row r="8" ht="15">
      <c r="A8" s="4" t="s">
        <v>298</v>
      </c>
    </row>
    <row r="9" ht="15">
      <c r="A9" s="4" t="s">
        <v>299</v>
      </c>
    </row>
    <row r="10" ht="15">
      <c r="A10" s="4" t="s">
        <v>29</v>
      </c>
    </row>
    <row r="11" ht="15">
      <c r="A11" s="4" t="s">
        <v>295</v>
      </c>
    </row>
    <row r="12" ht="15">
      <c r="A12" s="4" t="s">
        <v>300</v>
      </c>
    </row>
    <row r="13" ht="15">
      <c r="A13" s="4" t="s">
        <v>79</v>
      </c>
    </row>
    <row r="14" ht="15">
      <c r="A14" s="4" t="s">
        <v>301</v>
      </c>
    </row>
    <row r="15" ht="15">
      <c r="A15" s="4" t="s">
        <v>302</v>
      </c>
    </row>
    <row r="16" ht="15">
      <c r="A16" s="4" t="s">
        <v>67</v>
      </c>
    </row>
    <row r="17" ht="15">
      <c r="A17" s="4" t="s">
        <v>298</v>
      </c>
    </row>
    <row r="18" ht="15">
      <c r="A18" s="4" t="s">
        <v>303</v>
      </c>
    </row>
    <row r="19" ht="15">
      <c r="A19" s="4" t="s">
        <v>14</v>
      </c>
    </row>
    <row r="20" ht="15">
      <c r="A20" s="4" t="s">
        <v>295</v>
      </c>
    </row>
    <row r="21" ht="15">
      <c r="A21" s="4" t="s">
        <v>304</v>
      </c>
    </row>
    <row r="22" ht="15">
      <c r="A22" s="4" t="s">
        <v>30</v>
      </c>
    </row>
    <row r="23" ht="15">
      <c r="A23" s="4" t="s">
        <v>295</v>
      </c>
    </row>
    <row r="24" ht="15">
      <c r="A24" s="4" t="s">
        <v>305</v>
      </c>
    </row>
    <row r="25" ht="15">
      <c r="A25" s="4" t="s">
        <v>26</v>
      </c>
    </row>
    <row r="26" ht="15">
      <c r="A26" s="4" t="s">
        <v>295</v>
      </c>
    </row>
    <row r="27" ht="15">
      <c r="A27" s="4" t="s">
        <v>306</v>
      </c>
    </row>
    <row r="28" ht="15">
      <c r="A28" s="4" t="s">
        <v>22</v>
      </c>
    </row>
    <row r="29" ht="15">
      <c r="A29" s="4" t="s">
        <v>307</v>
      </c>
    </row>
    <row r="30" ht="15">
      <c r="A30" s="4" t="s">
        <v>308</v>
      </c>
    </row>
    <row r="31" ht="15">
      <c r="A31" s="4" t="s">
        <v>21</v>
      </c>
    </row>
    <row r="32" ht="15">
      <c r="A32" s="4" t="s">
        <v>295</v>
      </c>
    </row>
    <row r="33" ht="15">
      <c r="A33" s="4" t="s">
        <v>309</v>
      </c>
    </row>
    <row r="34" ht="15">
      <c r="A34" s="4" t="s">
        <v>21</v>
      </c>
    </row>
    <row r="35" ht="15">
      <c r="A35" s="4" t="s">
        <v>295</v>
      </c>
    </row>
    <row r="36" ht="15">
      <c r="A36" s="4" t="s">
        <v>310</v>
      </c>
    </row>
    <row r="37" ht="15">
      <c r="A37" s="4" t="s">
        <v>80</v>
      </c>
    </row>
    <row r="38" ht="15">
      <c r="A38" s="4" t="s">
        <v>295</v>
      </c>
    </row>
    <row r="39" ht="15">
      <c r="A39" s="4" t="s">
        <v>311</v>
      </c>
    </row>
    <row r="40" ht="15">
      <c r="A40" s="4" t="s">
        <v>81</v>
      </c>
    </row>
    <row r="41" ht="15">
      <c r="A41" s="4" t="s">
        <v>295</v>
      </c>
    </row>
    <row r="42" ht="15">
      <c r="A42" s="4" t="s">
        <v>312</v>
      </c>
    </row>
    <row r="43" ht="15">
      <c r="A43" s="4" t="s">
        <v>82</v>
      </c>
    </row>
    <row r="44" ht="15">
      <c r="A44" s="4" t="s">
        <v>301</v>
      </c>
    </row>
    <row r="45" ht="15">
      <c r="A45" s="4" t="s">
        <v>313</v>
      </c>
    </row>
    <row r="46" ht="15">
      <c r="A46" s="4" t="s">
        <v>184</v>
      </c>
    </row>
    <row r="47" ht="15">
      <c r="A47" s="4" t="s">
        <v>295</v>
      </c>
    </row>
    <row r="48" ht="15">
      <c r="A48" s="4" t="s">
        <v>314</v>
      </c>
    </row>
    <row r="49" ht="15">
      <c r="A49" s="4" t="s">
        <v>68</v>
      </c>
    </row>
    <row r="50" ht="15">
      <c r="A50" s="4" t="s">
        <v>298</v>
      </c>
    </row>
    <row r="51" ht="15">
      <c r="A51" s="4" t="s">
        <v>315</v>
      </c>
    </row>
    <row r="52" ht="15">
      <c r="A52" s="4" t="s">
        <v>30</v>
      </c>
    </row>
    <row r="53" ht="15">
      <c r="A53" s="4" t="s">
        <v>295</v>
      </c>
    </row>
    <row r="54" ht="15">
      <c r="A54" s="4" t="s">
        <v>316</v>
      </c>
    </row>
    <row r="55" ht="15">
      <c r="A55" s="4" t="s">
        <v>83</v>
      </c>
    </row>
    <row r="56" ht="15">
      <c r="A56" s="4" t="s">
        <v>298</v>
      </c>
    </row>
    <row r="57" ht="15">
      <c r="A57" s="4" t="s">
        <v>317</v>
      </c>
    </row>
    <row r="58" ht="15">
      <c r="A58" s="4" t="s">
        <v>84</v>
      </c>
    </row>
    <row r="59" ht="15">
      <c r="A59" s="4" t="s">
        <v>298</v>
      </c>
    </row>
    <row r="60" ht="15">
      <c r="A60" s="4" t="s">
        <v>318</v>
      </c>
    </row>
    <row r="61" ht="15">
      <c r="A61" s="4" t="s">
        <v>85</v>
      </c>
    </row>
    <row r="62" ht="15">
      <c r="A62" s="4" t="s">
        <v>319</v>
      </c>
    </row>
    <row r="63" ht="15">
      <c r="A63" s="4" t="s">
        <v>320</v>
      </c>
    </row>
    <row r="64" ht="15">
      <c r="A64" s="4" t="s">
        <v>30</v>
      </c>
    </row>
    <row r="65" ht="15">
      <c r="A65" s="4" t="s">
        <v>295</v>
      </c>
    </row>
    <row r="66" ht="15">
      <c r="A66" s="4" t="s">
        <v>321</v>
      </c>
    </row>
    <row r="67" ht="15">
      <c r="A67" s="4" t="s">
        <v>86</v>
      </c>
    </row>
    <row r="68" ht="15">
      <c r="A68" s="4" t="s">
        <v>298</v>
      </c>
    </row>
    <row r="69" ht="15">
      <c r="A69" s="4" t="s">
        <v>322</v>
      </c>
    </row>
    <row r="70" ht="15">
      <c r="A70" s="4" t="s">
        <v>70</v>
      </c>
    </row>
    <row r="71" ht="15">
      <c r="A71" s="4" t="s">
        <v>298</v>
      </c>
    </row>
    <row r="72" ht="15">
      <c r="A72" s="4" t="s">
        <v>323</v>
      </c>
    </row>
    <row r="73" ht="15">
      <c r="A73" s="4" t="s">
        <v>87</v>
      </c>
    </row>
    <row r="74" ht="15">
      <c r="A74" s="4" t="s">
        <v>298</v>
      </c>
    </row>
    <row r="75" ht="15">
      <c r="A75" s="4" t="s">
        <v>324</v>
      </c>
    </row>
    <row r="76" ht="15">
      <c r="A76" s="4" t="s">
        <v>77</v>
      </c>
    </row>
    <row r="77" ht="15">
      <c r="A77" s="4" t="s">
        <v>307</v>
      </c>
    </row>
    <row r="78" ht="15">
      <c r="A78" s="4" t="s">
        <v>325</v>
      </c>
    </row>
    <row r="79" ht="15">
      <c r="A79" s="4" t="s">
        <v>67</v>
      </c>
    </row>
    <row r="80" ht="15">
      <c r="A80" s="4" t="s">
        <v>298</v>
      </c>
    </row>
    <row r="81" ht="15">
      <c r="A81" s="4" t="s">
        <v>326</v>
      </c>
    </row>
    <row r="82" ht="15">
      <c r="A82" s="4" t="s">
        <v>82</v>
      </c>
    </row>
    <row r="83" ht="15">
      <c r="A83" s="4" t="s">
        <v>301</v>
      </c>
    </row>
    <row r="84" ht="15">
      <c r="A84" s="4" t="s">
        <v>327</v>
      </c>
    </row>
    <row r="85" ht="15">
      <c r="A85" s="4" t="s">
        <v>88</v>
      </c>
    </row>
    <row r="86" ht="15">
      <c r="A86" s="4" t="s">
        <v>328</v>
      </c>
    </row>
    <row r="87" ht="15">
      <c r="A87" s="4" t="s">
        <v>329</v>
      </c>
    </row>
    <row r="88" ht="15">
      <c r="A88" s="4" t="s">
        <v>90</v>
      </c>
    </row>
    <row r="89" ht="15">
      <c r="A89" s="4" t="s">
        <v>301</v>
      </c>
    </row>
    <row r="90" ht="15">
      <c r="A90" s="4" t="s">
        <v>330</v>
      </c>
    </row>
    <row r="91" ht="15">
      <c r="A91" s="4" t="s">
        <v>14</v>
      </c>
    </row>
    <row r="92" ht="15">
      <c r="A92" s="4" t="s">
        <v>295</v>
      </c>
    </row>
    <row r="93" ht="15">
      <c r="A93" s="4" t="s">
        <v>331</v>
      </c>
    </row>
    <row r="94" ht="15">
      <c r="A94" s="4" t="s">
        <v>91</v>
      </c>
    </row>
    <row r="95" ht="15">
      <c r="A95" s="4" t="s">
        <v>295</v>
      </c>
    </row>
    <row r="96" ht="15">
      <c r="A96" s="4" t="s">
        <v>332</v>
      </c>
    </row>
    <row r="97" ht="15">
      <c r="A97" s="4" t="s">
        <v>17</v>
      </c>
    </row>
    <row r="98" ht="15">
      <c r="A98" s="4" t="s">
        <v>301</v>
      </c>
    </row>
    <row r="99" ht="15">
      <c r="A99" s="4" t="s">
        <v>333</v>
      </c>
    </row>
    <row r="100" ht="15">
      <c r="A100" s="4" t="s">
        <v>21</v>
      </c>
    </row>
    <row r="101" ht="15">
      <c r="A101" s="4" t="s">
        <v>295</v>
      </c>
    </row>
    <row r="102" ht="15">
      <c r="A102" s="4" t="s">
        <v>334</v>
      </c>
    </row>
    <row r="103" ht="15">
      <c r="A103" s="4" t="s">
        <v>14</v>
      </c>
    </row>
    <row r="104" ht="15">
      <c r="A104" s="4" t="s">
        <v>295</v>
      </c>
    </row>
    <row r="105" ht="15">
      <c r="A105" s="4" t="s">
        <v>335</v>
      </c>
    </row>
    <row r="106" ht="15">
      <c r="A106" s="4" t="s">
        <v>92</v>
      </c>
    </row>
    <row r="107" ht="15">
      <c r="A107" s="4" t="s">
        <v>307</v>
      </c>
    </row>
    <row r="108" ht="15">
      <c r="A108" s="4" t="s">
        <v>336</v>
      </c>
    </row>
    <row r="109" ht="15">
      <c r="A109" s="4" t="s">
        <v>93</v>
      </c>
    </row>
    <row r="110" ht="15">
      <c r="A110" s="4" t="s">
        <v>298</v>
      </c>
    </row>
    <row r="111" ht="15">
      <c r="A111" s="4" t="s">
        <v>337</v>
      </c>
    </row>
    <row r="112" ht="15">
      <c r="A112" s="4" t="s">
        <v>94</v>
      </c>
    </row>
    <row r="113" ht="15">
      <c r="A113" s="4" t="s">
        <v>295</v>
      </c>
    </row>
    <row r="114" ht="15">
      <c r="A114" s="4" t="s">
        <v>338</v>
      </c>
    </row>
    <row r="115" ht="15">
      <c r="A115" s="4" t="s">
        <v>70</v>
      </c>
    </row>
    <row r="116" ht="15">
      <c r="A116" s="4" t="s">
        <v>298</v>
      </c>
    </row>
    <row r="117" ht="15">
      <c r="A117" s="4" t="s">
        <v>339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>
      <selection activeCell="J3" sqref="J3:J8"/>
    </sheetView>
  </sheetViews>
  <sheetFormatPr defaultRowHeight="14.25"/>
  <cols>
    <col min="1" max="1" width="28.375" bestFit="1" customWidth="1"/>
    <col min="6" max="6" width="17.625" bestFit="1" customWidth="1"/>
    <col min="7" max="7" width="8.5" bestFit="1" customWidth="1"/>
    <col min="8" max="8" width="7.5" bestFit="1" customWidth="1"/>
  </cols>
  <sheetData>
    <row r="1">
      <c r="A1" t="s">
        <v>128</v>
      </c>
      <c r="B1" t="s">
        <v>129</v>
      </c>
    </row>
    <row r="2" ht="15">
      <c r="A2" s="4" t="s">
        <v>67</v>
      </c>
      <c r="B2">
        <v>3</v>
      </c>
      <c r="F2" s="5" t="s">
        <v>128</v>
      </c>
      <c r="G2" s="6" t="s">
        <v>129</v>
      </c>
      <c r="H2" s="7" t="s">
        <v>235</v>
      </c>
    </row>
    <row r="3" ht="15">
      <c r="A3" s="4" t="s">
        <v>21</v>
      </c>
      <c r="B3">
        <v>3</v>
      </c>
      <c r="F3" s="8" t="s">
        <v>340</v>
      </c>
      <c r="G3" s="17">
        <v>18</v>
      </c>
      <c r="H3" s="19">
        <f>Table3[[#This Row], [Count]]*100/Table3[[#Totals], [Count]]</f>
        <v>46.153846153846153</v>
      </c>
      <c r="J3">
        <v>46</v>
      </c>
    </row>
    <row r="4" ht="15">
      <c r="A4" s="4" t="s">
        <v>14</v>
      </c>
      <c r="B4">
        <v>3</v>
      </c>
      <c r="F4" s="8" t="s">
        <v>341</v>
      </c>
      <c r="G4" s="17">
        <v>11</v>
      </c>
      <c r="H4" s="19">
        <f>Table3[[#This Row], [Count]]*100/Table3[[#Totals], [Count]]</f>
        <v>28.205128205128204</v>
      </c>
      <c r="J4">
        <v>28</v>
      </c>
    </row>
    <row r="5" ht="15">
      <c r="A5" s="4" t="s">
        <v>30</v>
      </c>
      <c r="B5">
        <v>3</v>
      </c>
      <c r="F5" s="8" t="s">
        <v>342</v>
      </c>
      <c r="G5" s="17">
        <v>5</v>
      </c>
      <c r="H5" s="19">
        <f>Table3[[#This Row], [Count]]*100/Table3[[#Totals], [Count]]</f>
        <v>12.820512820512821</v>
      </c>
      <c r="J5">
        <v>13</v>
      </c>
    </row>
    <row r="6" ht="15">
      <c r="A6" s="4" t="s">
        <v>82</v>
      </c>
      <c r="B6">
        <v>2</v>
      </c>
      <c r="F6" s="8" t="s">
        <v>343</v>
      </c>
      <c r="G6" s="17">
        <v>3</v>
      </c>
      <c r="H6" s="19">
        <f>Table3[[#This Row], [Count]]*100/Table3[[#Totals], [Count]]</f>
        <v>7.6923076923076925</v>
      </c>
      <c r="J6">
        <v>8</v>
      </c>
    </row>
    <row r="7" ht="15">
      <c r="A7" s="4" t="s">
        <v>70</v>
      </c>
      <c r="B7">
        <v>2</v>
      </c>
      <c r="F7" s="8" t="s">
        <v>344</v>
      </c>
      <c r="G7" s="17">
        <v>1</v>
      </c>
      <c r="H7" s="19">
        <f>Table3[[#This Row], [Count]]*100/Table3[[#Totals], [Count]]</f>
        <v>2.5641025641025643</v>
      </c>
      <c r="J7">
        <v>2.5</v>
      </c>
    </row>
    <row r="8" ht="15">
      <c r="A8" s="4" t="s">
        <v>68</v>
      </c>
      <c r="B8">
        <v>1</v>
      </c>
      <c r="F8" s="8" t="s">
        <v>345</v>
      </c>
      <c r="G8" s="17">
        <v>1</v>
      </c>
      <c r="H8" s="19">
        <f>Table3[[#This Row], [Count]]*100/Table3[[#Totals], [Count]]</f>
        <v>2.5641025641025643</v>
      </c>
      <c r="J8">
        <v>2.5</v>
      </c>
    </row>
    <row r="9" ht="15">
      <c r="A9" s="4" t="s">
        <v>86</v>
      </c>
      <c r="B9">
        <v>1</v>
      </c>
      <c r="F9" s="20" t="s">
        <v>12</v>
      </c>
      <c r="G9" s="21">
        <f>SUM(Table3[Count])</f>
        <v>39</v>
      </c>
      <c r="H9" s="22">
        <f>SUM(Table3[%])</f>
        <v>100.00000000000001</v>
      </c>
    </row>
    <row r="10" ht="15">
      <c r="A10" s="4" t="s">
        <v>94</v>
      </c>
      <c r="B10">
        <v>1</v>
      </c>
    </row>
    <row r="11" ht="15">
      <c r="A11" s="4" t="s">
        <v>87</v>
      </c>
      <c r="B11">
        <v>1</v>
      </c>
    </row>
    <row r="12" ht="15">
      <c r="A12" s="4" t="s">
        <v>92</v>
      </c>
      <c r="B12">
        <v>1</v>
      </c>
    </row>
    <row r="13" ht="15">
      <c r="A13" s="4" t="s">
        <v>184</v>
      </c>
      <c r="B13">
        <v>1</v>
      </c>
    </row>
    <row r="14" ht="15">
      <c r="A14" s="4" t="s">
        <v>80</v>
      </c>
      <c r="B14">
        <v>1</v>
      </c>
    </row>
    <row r="15" ht="15">
      <c r="A15" s="4" t="s">
        <v>83</v>
      </c>
      <c r="B15">
        <v>1</v>
      </c>
    </row>
    <row r="16" ht="15">
      <c r="A16" s="4" t="s">
        <v>27</v>
      </c>
      <c r="B16">
        <v>1</v>
      </c>
    </row>
    <row r="17" ht="15">
      <c r="A17" s="4" t="s">
        <v>85</v>
      </c>
      <c r="B17">
        <v>1</v>
      </c>
    </row>
    <row r="18" ht="15">
      <c r="A18" s="4" t="s">
        <v>22</v>
      </c>
      <c r="B18">
        <v>1</v>
      </c>
    </row>
    <row r="19" ht="15">
      <c r="A19" s="4" t="s">
        <v>88</v>
      </c>
      <c r="B19">
        <v>1</v>
      </c>
    </row>
    <row r="20" ht="15">
      <c r="A20" s="4" t="s">
        <v>81</v>
      </c>
      <c r="B20">
        <v>1</v>
      </c>
    </row>
    <row r="21" ht="15">
      <c r="A21" s="4" t="s">
        <v>84</v>
      </c>
      <c r="B21">
        <v>1</v>
      </c>
    </row>
    <row r="22" ht="15">
      <c r="A22" s="4" t="s">
        <v>90</v>
      </c>
      <c r="B22">
        <v>1</v>
      </c>
    </row>
    <row r="23" ht="15">
      <c r="A23" s="4" t="s">
        <v>17</v>
      </c>
      <c r="B23">
        <v>1</v>
      </c>
    </row>
    <row r="24" ht="15">
      <c r="A24" s="4" t="s">
        <v>26</v>
      </c>
      <c r="B24">
        <v>1</v>
      </c>
    </row>
    <row r="25" ht="15">
      <c r="A25" s="4" t="s">
        <v>93</v>
      </c>
      <c r="B25">
        <v>1</v>
      </c>
    </row>
    <row r="26" ht="15">
      <c r="A26" s="4" t="s">
        <v>79</v>
      </c>
      <c r="B26">
        <v>1</v>
      </c>
    </row>
    <row r="27" ht="15">
      <c r="A27" s="4" t="s">
        <v>29</v>
      </c>
      <c r="B27">
        <v>1</v>
      </c>
    </row>
    <row r="28" ht="15">
      <c r="A28" s="4" t="s">
        <v>78</v>
      </c>
      <c r="B28">
        <v>1</v>
      </c>
    </row>
    <row r="29" ht="15">
      <c r="A29" s="4" t="s">
        <v>91</v>
      </c>
      <c r="B29">
        <v>1</v>
      </c>
    </row>
    <row r="30" ht="15">
      <c r="A30" s="4" t="s">
        <v>77</v>
      </c>
      <c r="B30">
        <v>1</v>
      </c>
    </row>
    <row r="31">
      <c r="B31">
        <f>SUM(B2:B30)</f>
        <v>39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Admin</cp:lastModifiedBy>
  <dcterms:created xsi:type="dcterms:W3CDTF">2024-12-28T16:26:14Z</dcterms:created>
  <dcterms:modified xsi:type="dcterms:W3CDTF">2026-06-28T17:38:13Z</dcterms:modified>
</cp:coreProperties>
</file>